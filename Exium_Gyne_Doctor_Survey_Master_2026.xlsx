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rritory Coverage Matrix" sheetId="2" state="visible" r:id="rId2"/>
    <sheet xmlns:r="http://schemas.openxmlformats.org/officeDocument/2006/relationships" name="Survey Respo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i val="1"/>
      <color rgb="FFBAE6FD"/>
      <sz val="10"/>
    </font>
    <font>
      <name val="Calibri"/>
      <b val="1"/>
      <color rgb="FF475569"/>
      <sz val="9"/>
    </font>
    <font>
      <name val="Calibri"/>
      <b val="1"/>
      <color rgb="FF0F172A"/>
      <sz val="16"/>
    </font>
    <font>
      <name val="Calibri"/>
      <b val="1"/>
      <color rgb="FF0F172A"/>
      <sz val="11"/>
    </font>
    <font>
      <name val="Calibri"/>
      <b val="1"/>
      <color rgb="FFFFFFFF"/>
      <sz val="10"/>
    </font>
    <font>
      <name val="Calibri"/>
      <color rgb="FF0F172A"/>
      <sz val="10"/>
    </font>
  </fonts>
  <fills count="6">
    <fill>
      <patternFill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E0F2FE"/>
        <bgColor rgb="FFE0F2FE"/>
      </patternFill>
    </fill>
    <fill>
      <patternFill patternType="solid">
        <fgColor rgb="FFD1FAE5"/>
        <bgColor rgb="FFD1FAE5"/>
      </patternFill>
    </fill>
    <fill>
      <patternFill patternType="solid">
        <fgColor rgb="FF0284C7"/>
        <bgColor rgb="FF0284C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4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9" max="9"/>
  </cols>
  <sheetData>
    <row r="1" ht="32" customHeight="1">
      <c r="A1" s="1" t="inlineStr">
        <is>
          <t>EXIUM MUPS — GERD IN PREGNANCY CLINICAL SURVEY REPORT</t>
        </is>
      </c>
    </row>
    <row r="2" ht="18" customHeight="1">
      <c r="A2" s="2" t="inlineStr">
        <is>
          <t>Obstetrics &amp; Gynaecology Doctor Opinion Analysis</t>
        </is>
      </c>
    </row>
    <row r="4" ht="18" customHeight="1">
      <c r="B4" s="3" t="inlineStr">
        <is>
          <t>TOTAL TERRITORIES</t>
        </is>
      </c>
      <c r="D4" s="4" t="inlineStr">
        <is>
          <t>TOTAL DOCTORS SURVEYED</t>
        </is>
      </c>
      <c r="G4" s="3" t="inlineStr">
        <is>
          <t>TERRITORY COVERAGE %</t>
        </is>
      </c>
    </row>
    <row r="5" ht="28" customHeight="1">
      <c r="B5" s="5" t="inlineStr">
        <is>
          <t>1,869</t>
        </is>
      </c>
      <c r="D5" s="6">
        <f>COUNTA('Survey Responses'!A2:A5000)</f>
        <v/>
      </c>
      <c r="G5" s="5">
        <f>(COUNTIF('Territory Coverage Matrix'!J2:J1879, "Completed")/1869)*100</f>
        <v/>
      </c>
    </row>
    <row r="7">
      <c r="B7" s="7" t="inlineStr">
        <is>
          <t>1. Based on your clinical experience, in which trimester do your patients report the most GERD/gastric symptoms?</t>
        </is>
      </c>
    </row>
    <row r="9">
      <c r="B9" s="8" t="inlineStr">
        <is>
          <t>Option Code</t>
        </is>
      </c>
      <c r="C9" s="9" t="inlineStr">
        <is>
          <t>Trimester / Clinical Response</t>
        </is>
      </c>
      <c r="D9" s="8" t="inlineStr">
        <is>
          <t>Response Count</t>
        </is>
      </c>
      <c r="E9" s="8" t="inlineStr">
        <is>
          <t>% Share</t>
        </is>
      </c>
    </row>
    <row r="10">
      <c r="B10" s="10" t="inlineStr">
        <is>
          <t>A</t>
        </is>
      </c>
      <c r="C10" s="11" t="inlineStr">
        <is>
          <t>First trimester</t>
        </is>
      </c>
      <c r="D10" s="10">
        <f>COUNTIF('Survey Responses'!M:M, "A")</f>
        <v/>
      </c>
      <c r="E10" s="12">
        <f>IF(COUNTA('Survey Responses'!A2:A5000)&gt;0, D10/COUNTA('Survey Responses'!A2:A5000), 0)</f>
        <v/>
      </c>
    </row>
    <row r="11">
      <c r="B11" s="10" t="inlineStr">
        <is>
          <t>B</t>
        </is>
      </c>
      <c r="C11" s="11" t="inlineStr">
        <is>
          <t>Second trimester</t>
        </is>
      </c>
      <c r="D11" s="10">
        <f>COUNTIF('Survey Responses'!M:M, "B")</f>
        <v/>
      </c>
      <c r="E11" s="12">
        <f>IF(COUNTA('Survey Responses'!A2:A5000)&gt;0, D11/COUNTA('Survey Responses'!A2:A5000), 0)</f>
        <v/>
      </c>
    </row>
    <row r="12">
      <c r="B12" s="10" t="inlineStr">
        <is>
          <t>C</t>
        </is>
      </c>
      <c r="C12" s="11" t="inlineStr">
        <is>
          <t>Third trimester</t>
        </is>
      </c>
      <c r="D12" s="10">
        <f>COUNTIF('Survey Responses'!M:M, "C")</f>
        <v/>
      </c>
      <c r="E12" s="12">
        <f>IF(COUNTA('Survey Responses'!A2:A5000)&gt;0, D12/COUNTA('Survey Responses'!A2:A5000), 0)</f>
        <v/>
      </c>
    </row>
    <row r="13">
      <c r="B13" s="10" t="inlineStr">
        <is>
          <t>D</t>
        </is>
      </c>
      <c r="C13" s="11" t="inlineStr">
        <is>
          <t>Throughout pregnancy (All trimesters)</t>
        </is>
      </c>
      <c r="D13" s="10">
        <f>COUNTIF('Survey Responses'!M:M, "D")</f>
        <v/>
      </c>
      <c r="E13" s="12">
        <f>IF(COUNTA('Survey Responses'!A2:A5000)&gt;0, D13/COUNTA('Survey Responses'!A2:A5000), 0)</f>
        <v/>
      </c>
    </row>
    <row r="16">
      <c r="B16" s="7" t="inlineStr">
        <is>
          <t>2. Which GERD symptom is most commonly reported by your pregnant patients?</t>
        </is>
      </c>
    </row>
    <row r="18">
      <c r="B18" s="8" t="inlineStr">
        <is>
          <t>Option Code</t>
        </is>
      </c>
      <c r="C18" s="9" t="inlineStr">
        <is>
          <t>Commonly Reported GERD Symptom</t>
        </is>
      </c>
      <c r="D18" s="8" t="inlineStr">
        <is>
          <t>Response Count</t>
        </is>
      </c>
      <c r="E18" s="8" t="inlineStr">
        <is>
          <t>% Share</t>
        </is>
      </c>
    </row>
    <row r="19">
      <c r="B19" s="10" t="inlineStr">
        <is>
          <t>A</t>
        </is>
      </c>
      <c r="C19" s="11" t="inlineStr">
        <is>
          <t>Heartburn (Retrosternal burning)</t>
        </is>
      </c>
      <c r="D19" s="10">
        <f>COUNTIF('Survey Responses'!O:O, "A")</f>
        <v/>
      </c>
      <c r="E19" s="12">
        <f>IF(COUNTA('Survey Responses'!A2:A5000)&gt;0, D19/COUNTA('Survey Responses'!A2:A5000), 0)</f>
        <v/>
      </c>
    </row>
    <row r="20">
      <c r="B20" s="10" t="inlineStr">
        <is>
          <t>B</t>
        </is>
      </c>
      <c r="C20" s="11" t="inlineStr">
        <is>
          <t>Acid regurgitation / sour taste</t>
        </is>
      </c>
      <c r="D20" s="10">
        <f>COUNTIF('Survey Responses'!O:O, "B")</f>
        <v/>
      </c>
      <c r="E20" s="12">
        <f>IF(COUNTA('Survey Responses'!A2:A5000)&gt;0, D20/COUNTA('Survey Responses'!A2:A5000), 0)</f>
        <v/>
      </c>
    </row>
    <row r="21">
      <c r="B21" s="10" t="inlineStr">
        <is>
          <t>C</t>
        </is>
      </c>
      <c r="C21" s="11" t="inlineStr">
        <is>
          <t>Epigastric pain / Upper abdominal discomfort</t>
        </is>
      </c>
      <c r="D21" s="10">
        <f>COUNTIF('Survey Responses'!O:O, "C")</f>
        <v/>
      </c>
      <c r="E21" s="12">
        <f>IF(COUNTA('Survey Responses'!A2:A5000)&gt;0, D21/COUNTA('Survey Responses'!A2:A5000), 0)</f>
        <v/>
      </c>
    </row>
    <row r="22">
      <c r="B22" s="10" t="inlineStr">
        <is>
          <t>D</t>
        </is>
      </c>
      <c r="C22" s="11" t="inlineStr">
        <is>
          <t>Belching</t>
        </is>
      </c>
      <c r="D22" s="10">
        <f>COUNTIF('Survey Responses'!O:O, "D")</f>
        <v/>
      </c>
      <c r="E22" s="12">
        <f>IF(COUNTA('Survey Responses'!A2:A5000)&gt;0, D22/COUNTA('Survey Responses'!A2:A5000), 0)</f>
        <v/>
      </c>
    </row>
    <row r="23">
      <c r="B23" s="10" t="inlineStr">
        <is>
          <t>E</t>
        </is>
      </c>
      <c r="C23" s="11" t="inlineStr">
        <is>
          <t>Other</t>
        </is>
      </c>
      <c r="D23" s="10">
        <f>COUNTIF('Survey Responses'!O:O, "E")</f>
        <v/>
      </c>
      <c r="E23" s="12">
        <f>IF(COUNTA('Survey Responses'!A2:A5000)&gt;0, D23/COUNTA('Survey Responses'!A2:A5000), 0)</f>
        <v/>
      </c>
    </row>
  </sheetData>
  <mergeCells count="8">
    <mergeCell ref="G4:H4"/>
    <mergeCell ref="A2:I2"/>
    <mergeCell ref="B5:C5"/>
    <mergeCell ref="D5:E5"/>
    <mergeCell ref="A1:I1"/>
    <mergeCell ref="G5:H5"/>
    <mergeCell ref="D4:E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70"/>
  <sheetViews>
    <sheetView showGridLines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20" customWidth="1" min="4" max="4"/>
    <col width="22" customWidth="1" min="5" max="5"/>
    <col width="15" customWidth="1" min="6" max="6"/>
    <col width="20" customWidth="1" min="7" max="7"/>
    <col width="12" customWidth="1" min="8" max="8"/>
    <col width="26" customWidth="1" min="9" max="9"/>
    <col width="15" customWidth="1" min="10" max="10"/>
    <col width="18" customWidth="1" min="11" max="11"/>
  </cols>
  <sheetData>
    <row r="1" ht="28" customHeight="1">
      <c r="A1" s="13" t="inlineStr">
        <is>
          <t>SL</t>
        </is>
      </c>
      <c r="B1" s="13" t="inlineStr">
        <is>
          <t>Zone</t>
        </is>
      </c>
      <c r="C1" s="13" t="inlineStr">
        <is>
          <t>Zonal Head</t>
        </is>
      </c>
      <c r="D1" s="13" t="inlineStr">
        <is>
          <t>Region</t>
        </is>
      </c>
      <c r="E1" s="13" t="inlineStr">
        <is>
          <t>Regional Head</t>
        </is>
      </c>
      <c r="F1" s="13" t="inlineStr">
        <is>
          <t>SAP Territory Code</t>
        </is>
      </c>
      <c r="G1" s="13" t="inlineStr">
        <is>
          <t>Territory Name</t>
        </is>
      </c>
      <c r="H1" s="13" t="inlineStr">
        <is>
          <t>SAP MIO Code</t>
        </is>
      </c>
      <c r="I1" s="13" t="inlineStr">
        <is>
          <t>MIO / Sr. MIO Name</t>
        </is>
      </c>
      <c r="J1" s="13" t="inlineStr">
        <is>
          <t>Survey Status</t>
        </is>
      </c>
      <c r="K1" s="13" t="inlineStr">
        <is>
          <t>Doctors Surveyed Count</t>
        </is>
      </c>
    </row>
    <row r="2">
      <c r="A2" s="10" t="n">
        <v>1</v>
      </c>
      <c r="B2" s="11" t="inlineStr">
        <is>
          <t>Bogura (GEN-A)</t>
        </is>
      </c>
      <c r="C2" s="11" t="inlineStr">
        <is>
          <t>Mr. A H M Shabetuzzaman</t>
        </is>
      </c>
      <c r="D2" s="11" t="inlineStr">
        <is>
          <t>Bogura GEN-A-1</t>
        </is>
      </c>
      <c r="E2" s="11" t="inlineStr">
        <is>
          <t>Mr. Farhan Uddin</t>
        </is>
      </c>
      <c r="F2" s="10" t="n">
        <v>13419</v>
      </c>
      <c r="G2" s="11" t="inlineStr">
        <is>
          <t>Bogura-11</t>
        </is>
      </c>
      <c r="H2" s="10" t="n">
        <v>3012</v>
      </c>
      <c r="I2" s="11" t="inlineStr">
        <is>
          <t>Md. Rashidul Islam</t>
        </is>
      </c>
      <c r="J2" s="10">
        <f>IF(K2&gt;0, "Completed", "Pending")</f>
        <v/>
      </c>
      <c r="K2" s="10">
        <f>COUNTIF('Survey Responses'!F:F, F2)</f>
        <v/>
      </c>
    </row>
    <row r="3">
      <c r="A3" s="10" t="n">
        <v>2</v>
      </c>
      <c r="B3" s="11" t="inlineStr">
        <is>
          <t>Bogura (GEN-A)</t>
        </is>
      </c>
      <c r="C3" s="11" t="inlineStr">
        <is>
          <t>Mr. A H M Shabetuzzaman</t>
        </is>
      </c>
      <c r="D3" s="11" t="inlineStr">
        <is>
          <t>Bogura GEN-A-1</t>
        </is>
      </c>
      <c r="E3" s="11" t="inlineStr">
        <is>
          <t>Mr. Farhan Uddin</t>
        </is>
      </c>
      <c r="F3" s="10" t="n">
        <v>14542</v>
      </c>
      <c r="G3" s="11" t="inlineStr">
        <is>
          <t>Bogura-13</t>
        </is>
      </c>
      <c r="H3" s="10" t="n">
        <v>7640</v>
      </c>
      <c r="I3" s="11" t="inlineStr">
        <is>
          <t>Mr. Md. Imtiaz Ahmed</t>
        </is>
      </c>
      <c r="J3" s="10">
        <f>IF(K3&gt;0, "Completed", "Pending")</f>
        <v/>
      </c>
      <c r="K3" s="10">
        <f>COUNTIF('Survey Responses'!F:F, F3)</f>
        <v/>
      </c>
    </row>
    <row r="4">
      <c r="A4" s="10" t="n">
        <v>3</v>
      </c>
      <c r="B4" s="11" t="inlineStr">
        <is>
          <t>Bogura (GEN-A)</t>
        </is>
      </c>
      <c r="C4" s="11" t="inlineStr">
        <is>
          <t>Mr. A H M Shabetuzzaman</t>
        </is>
      </c>
      <c r="D4" s="11" t="inlineStr">
        <is>
          <t>Bogura GEN-A-1</t>
        </is>
      </c>
      <c r="E4" s="11" t="inlineStr">
        <is>
          <t>Mr. Farhan Uddin</t>
        </is>
      </c>
      <c r="F4" s="10" t="n">
        <v>10138</v>
      </c>
      <c r="G4" s="11" t="inlineStr">
        <is>
          <t>Bogura-3</t>
        </is>
      </c>
      <c r="H4" s="10" t="n">
        <v>5670</v>
      </c>
      <c r="I4" s="11" t="inlineStr">
        <is>
          <t>Mr. Md. Amdadul Haque</t>
        </is>
      </c>
      <c r="J4" s="10">
        <f>IF(K4&gt;0, "Completed", "Pending")</f>
        <v/>
      </c>
      <c r="K4" s="10">
        <f>COUNTIF('Survey Responses'!F:F, F4)</f>
        <v/>
      </c>
    </row>
    <row r="5">
      <c r="A5" s="10" t="n">
        <v>4</v>
      </c>
      <c r="B5" s="11" t="inlineStr">
        <is>
          <t>Bogura (GEN-A)</t>
        </is>
      </c>
      <c r="C5" s="11" t="inlineStr">
        <is>
          <t>Mr. A H M Shabetuzzaman</t>
        </is>
      </c>
      <c r="D5" s="11" t="inlineStr">
        <is>
          <t>Bogura GEN-A-1</t>
        </is>
      </c>
      <c r="E5" s="11" t="inlineStr">
        <is>
          <t>Mr. Farhan Uddin</t>
        </is>
      </c>
      <c r="F5" s="10" t="n">
        <v>10139</v>
      </c>
      <c r="G5" s="11" t="inlineStr">
        <is>
          <t>Bogura-8</t>
        </is>
      </c>
      <c r="H5" s="10" t="n">
        <v>7618</v>
      </c>
      <c r="I5" s="11" t="inlineStr">
        <is>
          <t>Mr. Jahidul Islam Nahid</t>
        </is>
      </c>
      <c r="J5" s="10">
        <f>IF(K5&gt;0, "Completed", "Pending")</f>
        <v/>
      </c>
      <c r="K5" s="10">
        <f>COUNTIF('Survey Responses'!F:F, F5)</f>
        <v/>
      </c>
    </row>
    <row r="6">
      <c r="A6" s="10" t="n">
        <v>5</v>
      </c>
      <c r="B6" s="11" t="inlineStr">
        <is>
          <t>Bogura (GEN-A)</t>
        </is>
      </c>
      <c r="C6" s="11" t="inlineStr">
        <is>
          <t>Mr. A H M Shabetuzzaman</t>
        </is>
      </c>
      <c r="D6" s="11" t="inlineStr">
        <is>
          <t>Bogura GEN-A-1</t>
        </is>
      </c>
      <c r="E6" s="11" t="inlineStr">
        <is>
          <t>Mr. Farhan Uddin</t>
        </is>
      </c>
      <c r="F6" s="10" t="n">
        <v>10137</v>
      </c>
      <c r="G6" s="11" t="inlineStr">
        <is>
          <t>Bogura-9</t>
        </is>
      </c>
      <c r="H6" s="10" t="n">
        <v>1728</v>
      </c>
      <c r="I6" s="11" t="inlineStr">
        <is>
          <t>Md. Manik Miah</t>
        </is>
      </c>
      <c r="J6" s="10">
        <f>IF(K6&gt;0, "Completed", "Pending")</f>
        <v/>
      </c>
      <c r="K6" s="10">
        <f>COUNTIF('Survey Responses'!F:F, F6)</f>
        <v/>
      </c>
    </row>
    <row r="7">
      <c r="A7" s="10" t="n">
        <v>6</v>
      </c>
      <c r="B7" s="11" t="inlineStr">
        <is>
          <t>Bogura (GEN-A)</t>
        </is>
      </c>
      <c r="C7" s="11" t="inlineStr">
        <is>
          <t>Mr. A H M Shabetuzzaman</t>
        </is>
      </c>
      <c r="D7" s="11" t="inlineStr">
        <is>
          <t>Bogura GEN-A-1</t>
        </is>
      </c>
      <c r="E7" s="11" t="inlineStr">
        <is>
          <t>Mr. Farhan Uddin</t>
        </is>
      </c>
      <c r="F7" s="10" t="n">
        <v>10140</v>
      </c>
      <c r="G7" s="11" t="inlineStr">
        <is>
          <t>Gabtoly</t>
        </is>
      </c>
      <c r="H7" s="10" t="n">
        <v>1867</v>
      </c>
      <c r="I7" s="11" t="inlineStr">
        <is>
          <t>Samaul Kabir</t>
        </is>
      </c>
      <c r="J7" s="10">
        <f>IF(K7&gt;0, "Completed", "Pending")</f>
        <v/>
      </c>
      <c r="K7" s="10">
        <f>COUNTIF('Survey Responses'!F:F, F7)</f>
        <v/>
      </c>
    </row>
    <row r="8">
      <c r="A8" s="10" t="n">
        <v>7</v>
      </c>
      <c r="B8" s="11" t="inlineStr">
        <is>
          <t>Bogura (GEN-A)</t>
        </is>
      </c>
      <c r="C8" s="11" t="inlineStr">
        <is>
          <t>Mr. A H M Shabetuzzaman</t>
        </is>
      </c>
      <c r="D8" s="11" t="inlineStr">
        <is>
          <t>Bogura GEN-A-1</t>
        </is>
      </c>
      <c r="E8" s="11" t="inlineStr">
        <is>
          <t>Mr. Farhan Uddin</t>
        </is>
      </c>
      <c r="F8" s="10" t="n">
        <v>12199</v>
      </c>
      <c r="G8" s="11" t="inlineStr">
        <is>
          <t>Shariakandi-1</t>
        </is>
      </c>
      <c r="H8" s="10" t="n">
        <v>6605</v>
      </c>
      <c r="I8" s="11" t="inlineStr">
        <is>
          <t>Mr. Farhad Hossen</t>
        </is>
      </c>
      <c r="J8" s="10">
        <f>IF(K8&gt;0, "Completed", "Pending")</f>
        <v/>
      </c>
      <c r="K8" s="10">
        <f>COUNTIF('Survey Responses'!F:F, F8)</f>
        <v/>
      </c>
    </row>
    <row r="9">
      <c r="A9" s="10" t="n">
        <v>8</v>
      </c>
      <c r="B9" s="11" t="inlineStr">
        <is>
          <t>Bogura (GEN-A)</t>
        </is>
      </c>
      <c r="C9" s="11" t="inlineStr">
        <is>
          <t>Mr. A H M Shabetuzzaman</t>
        </is>
      </c>
      <c r="D9" s="11" t="inlineStr">
        <is>
          <t>Bogura GEN-A-2</t>
        </is>
      </c>
      <c r="E9" s="11" t="inlineStr">
        <is>
          <t>Md. Alamgir Hossain</t>
        </is>
      </c>
      <c r="F9" s="10" t="n">
        <v>10144</v>
      </c>
      <c r="G9" s="11" t="inlineStr">
        <is>
          <t>Bogura-10</t>
        </is>
      </c>
      <c r="H9" s="10" t="n">
        <v>5738</v>
      </c>
      <c r="I9" s="11" t="inlineStr">
        <is>
          <t>Mr. Partho Biswas</t>
        </is>
      </c>
      <c r="J9" s="10">
        <f>IF(K9&gt;0, "Completed", "Pending")</f>
        <v/>
      </c>
      <c r="K9" s="10">
        <f>COUNTIF('Survey Responses'!F:F, F9)</f>
        <v/>
      </c>
    </row>
    <row r="10">
      <c r="A10" s="10" t="n">
        <v>9</v>
      </c>
      <c r="B10" s="11" t="inlineStr">
        <is>
          <t>Bogura (GEN-A)</t>
        </is>
      </c>
      <c r="C10" s="11" t="inlineStr">
        <is>
          <t>Mr. A H M Shabetuzzaman</t>
        </is>
      </c>
      <c r="D10" s="11" t="inlineStr">
        <is>
          <t>Bogura GEN-A-2</t>
        </is>
      </c>
      <c r="E10" s="11" t="inlineStr">
        <is>
          <t>Md. Alamgir Hossain</t>
        </is>
      </c>
      <c r="F10" s="10" t="n">
        <v>10149</v>
      </c>
      <c r="G10" s="11" t="inlineStr">
        <is>
          <t>Bogura-12</t>
        </is>
      </c>
      <c r="H10" s="10" t="n">
        <v>3190</v>
      </c>
      <c r="I10" s="11" t="inlineStr">
        <is>
          <t>Md. Tazirul Islam</t>
        </is>
      </c>
      <c r="J10" s="10">
        <f>IF(K10&gt;0, "Completed", "Pending")</f>
        <v/>
      </c>
      <c r="K10" s="10">
        <f>COUNTIF('Survey Responses'!F:F, F10)</f>
        <v/>
      </c>
    </row>
    <row r="11">
      <c r="A11" s="10" t="n">
        <v>10</v>
      </c>
      <c r="B11" s="11" t="inlineStr">
        <is>
          <t>Bogura (GEN-A)</t>
        </is>
      </c>
      <c r="C11" s="11" t="inlineStr">
        <is>
          <t>Mr. A H M Shabetuzzaman</t>
        </is>
      </c>
      <c r="D11" s="11" t="inlineStr">
        <is>
          <t>Bogura GEN-A-2</t>
        </is>
      </c>
      <c r="E11" s="11" t="inlineStr">
        <is>
          <t>Md. Alamgir Hossain</t>
        </is>
      </c>
      <c r="F11" s="10" t="n">
        <v>10148</v>
      </c>
      <c r="G11" s="11" t="inlineStr">
        <is>
          <t>Bogura-2</t>
        </is>
      </c>
      <c r="H11" s="10" t="n">
        <v>8747</v>
      </c>
      <c r="I11" s="11" t="inlineStr">
        <is>
          <t>Mr. Md. Zahid Hassan</t>
        </is>
      </c>
      <c r="J11" s="10">
        <f>IF(K11&gt;0, "Completed", "Pending")</f>
        <v/>
      </c>
      <c r="K11" s="10">
        <f>COUNTIF('Survey Responses'!F:F, F11)</f>
        <v/>
      </c>
    </row>
    <row r="12">
      <c r="A12" s="10" t="n">
        <v>11</v>
      </c>
      <c r="B12" s="11" t="inlineStr">
        <is>
          <t>Bogura (GEN-A)</t>
        </is>
      </c>
      <c r="C12" s="11" t="inlineStr">
        <is>
          <t>Mr. A H M Shabetuzzaman</t>
        </is>
      </c>
      <c r="D12" s="11" t="inlineStr">
        <is>
          <t>Bogura GEN-A-2</t>
        </is>
      </c>
      <c r="E12" s="11" t="inlineStr">
        <is>
          <t>Md. Alamgir Hossain</t>
        </is>
      </c>
      <c r="F12" s="10" t="n">
        <v>10136</v>
      </c>
      <c r="G12" s="11" t="inlineStr">
        <is>
          <t>Bogura-4</t>
        </is>
      </c>
      <c r="H12" s="10" t="n">
        <v>6549</v>
      </c>
      <c r="I12" s="11" t="inlineStr">
        <is>
          <t>Mr. Md. Arif Hossain</t>
        </is>
      </c>
      <c r="J12" s="10">
        <f>IF(K12&gt;0, "Completed", "Pending")</f>
        <v/>
      </c>
      <c r="K12" s="10">
        <f>COUNTIF('Survey Responses'!F:F, F12)</f>
        <v/>
      </c>
    </row>
    <row r="13">
      <c r="A13" s="10" t="n">
        <v>12</v>
      </c>
      <c r="B13" s="11" t="inlineStr">
        <is>
          <t>Bogura (GEN-A)</t>
        </is>
      </c>
      <c r="C13" s="11" t="inlineStr">
        <is>
          <t>Mr. A H M Shabetuzzaman</t>
        </is>
      </c>
      <c r="D13" s="11" t="inlineStr">
        <is>
          <t>Bogura GEN-A-2</t>
        </is>
      </c>
      <c r="E13" s="11" t="inlineStr">
        <is>
          <t>Md. Alamgir Hossain</t>
        </is>
      </c>
      <c r="F13" s="10" t="n">
        <v>10151</v>
      </c>
      <c r="G13" s="11" t="inlineStr">
        <is>
          <t>Shibgonj-1 (Bogura)</t>
        </is>
      </c>
      <c r="H13" s="10" t="n">
        <v>750</v>
      </c>
      <c r="I13" s="11" t="inlineStr">
        <is>
          <t>Mr. Nasir Uddin Bhuyian</t>
        </is>
      </c>
      <c r="J13" s="10">
        <f>IF(K13&gt;0, "Completed", "Pending")</f>
        <v/>
      </c>
      <c r="K13" s="10">
        <f>COUNTIF('Survey Responses'!F:F, F13)</f>
        <v/>
      </c>
    </row>
    <row r="14">
      <c r="A14" s="10" t="n">
        <v>13</v>
      </c>
      <c r="B14" s="11" t="inlineStr">
        <is>
          <t>Bogura (GEN-A)</t>
        </is>
      </c>
      <c r="C14" s="11" t="inlineStr">
        <is>
          <t>Mr. A H M Shabetuzzaman</t>
        </is>
      </c>
      <c r="D14" s="11" t="inlineStr">
        <is>
          <t>Bogura GEN-A-2</t>
        </is>
      </c>
      <c r="E14" s="11" t="inlineStr">
        <is>
          <t>Md. Alamgir Hossain</t>
        </is>
      </c>
      <c r="F14" s="10" t="n">
        <v>12687</v>
      </c>
      <c r="G14" s="11" t="inlineStr">
        <is>
          <t>Shibgonj-2 (Bogura)</t>
        </is>
      </c>
      <c r="H14" s="10" t="n">
        <v>4198</v>
      </c>
      <c r="I14" s="11" t="inlineStr">
        <is>
          <t>Mr. Md. Asaduzzaman Asad</t>
        </is>
      </c>
      <c r="J14" s="10">
        <f>IF(K14&gt;0, "Completed", "Pending")</f>
        <v/>
      </c>
      <c r="K14" s="10">
        <f>COUNTIF('Survey Responses'!F:F, F14)</f>
        <v/>
      </c>
    </row>
    <row r="15">
      <c r="A15" s="10" t="n">
        <v>14</v>
      </c>
      <c r="B15" s="11" t="inlineStr">
        <is>
          <t>Bogura (GEN-A)</t>
        </is>
      </c>
      <c r="C15" s="11" t="inlineStr">
        <is>
          <t>Mr. A H M Shabetuzzaman</t>
        </is>
      </c>
      <c r="D15" s="11" t="inlineStr">
        <is>
          <t>Bogura GEN-A-2</t>
        </is>
      </c>
      <c r="E15" s="11" t="inlineStr">
        <is>
          <t>Md. Alamgir Hossain</t>
        </is>
      </c>
      <c r="F15" s="10" t="n">
        <v>14593</v>
      </c>
      <c r="G15" s="11" t="inlineStr">
        <is>
          <t>Shibgonj-3 (Bogura)</t>
        </is>
      </c>
      <c r="H15" s="10" t="n">
        <v>7684</v>
      </c>
      <c r="I15" s="11" t="inlineStr">
        <is>
          <t>Mr. Md. Zaber Hosen</t>
        </is>
      </c>
      <c r="J15" s="10">
        <f>IF(K15&gt;0, "Completed", "Pending")</f>
        <v/>
      </c>
      <c r="K15" s="10">
        <f>COUNTIF('Survey Responses'!F:F, F15)</f>
        <v/>
      </c>
    </row>
    <row r="16">
      <c r="A16" s="10" t="n">
        <v>15</v>
      </c>
      <c r="B16" s="11" t="inlineStr">
        <is>
          <t>Bogura (GEN-A)</t>
        </is>
      </c>
      <c r="C16" s="11" t="inlineStr">
        <is>
          <t>Mr. A H M Shabetuzzaman</t>
        </is>
      </c>
      <c r="D16" s="11" t="inlineStr">
        <is>
          <t>Bogura GEN-A-3</t>
        </is>
      </c>
      <c r="E16" s="11" t="inlineStr">
        <is>
          <t>Mr. Md. Habibullah Belaly</t>
        </is>
      </c>
      <c r="F16" s="10" t="n">
        <v>10150</v>
      </c>
      <c r="G16" s="11" t="inlineStr">
        <is>
          <t>Bogura-1</t>
        </is>
      </c>
      <c r="H16" s="10" t="n">
        <v>786</v>
      </c>
      <c r="I16" s="11" t="inlineStr">
        <is>
          <t>Mr. Asadduzzaman</t>
        </is>
      </c>
      <c r="J16" s="10">
        <f>IF(K16&gt;0, "Completed", "Pending")</f>
        <v/>
      </c>
      <c r="K16" s="10">
        <f>COUNTIF('Survey Responses'!F:F, F16)</f>
        <v/>
      </c>
    </row>
    <row r="17">
      <c r="A17" s="10" t="n">
        <v>16</v>
      </c>
      <c r="B17" s="11" t="inlineStr">
        <is>
          <t>Bogura (GEN-A)</t>
        </is>
      </c>
      <c r="C17" s="11" t="inlineStr">
        <is>
          <t>Mr. A H M Shabetuzzaman</t>
        </is>
      </c>
      <c r="D17" s="11" t="inlineStr">
        <is>
          <t>Bogura GEN-A-3</t>
        </is>
      </c>
      <c r="E17" s="11" t="inlineStr">
        <is>
          <t>Mr. Md. Habibullah Belaly</t>
        </is>
      </c>
      <c r="F17" s="10" t="n">
        <v>10142</v>
      </c>
      <c r="G17" s="11" t="inlineStr">
        <is>
          <t>Bogura-5</t>
        </is>
      </c>
      <c r="H17" s="10" t="n">
        <v>2750</v>
      </c>
      <c r="I17" s="11" t="inlineStr">
        <is>
          <t>Md. Mahabur Rahaman</t>
        </is>
      </c>
      <c r="J17" s="10">
        <f>IF(K17&gt;0, "Completed", "Pending")</f>
        <v/>
      </c>
      <c r="K17" s="10">
        <f>COUNTIF('Survey Responses'!F:F, F17)</f>
        <v/>
      </c>
    </row>
    <row r="18">
      <c r="A18" s="10" t="n">
        <v>17</v>
      </c>
      <c r="B18" s="11" t="inlineStr">
        <is>
          <t>Bogura (GEN-A)</t>
        </is>
      </c>
      <c r="C18" s="11" t="inlineStr">
        <is>
          <t>Mr. A H M Shabetuzzaman</t>
        </is>
      </c>
      <c r="D18" s="11" t="inlineStr">
        <is>
          <t>Bogura GEN-A-3</t>
        </is>
      </c>
      <c r="E18" s="11" t="inlineStr">
        <is>
          <t>Mr. Md. Habibullah Belaly</t>
        </is>
      </c>
      <c r="F18" s="10" t="n">
        <v>10143</v>
      </c>
      <c r="G18" s="11" t="inlineStr">
        <is>
          <t>Bogura-6</t>
        </is>
      </c>
      <c r="H18" s="10" t="n">
        <v>8722</v>
      </c>
      <c r="I18" s="11" t="inlineStr">
        <is>
          <t>Mr. Md. Saddam Hossen</t>
        </is>
      </c>
      <c r="J18" s="10">
        <f>IF(K18&gt;0, "Completed", "Pending")</f>
        <v/>
      </c>
      <c r="K18" s="10">
        <f>COUNTIF('Survey Responses'!F:F, F18)</f>
        <v/>
      </c>
    </row>
    <row r="19">
      <c r="A19" s="10" t="n">
        <v>18</v>
      </c>
      <c r="B19" s="11" t="inlineStr">
        <is>
          <t>Bogura (GEN-A)</t>
        </is>
      </c>
      <c r="C19" s="11" t="inlineStr">
        <is>
          <t>Mr. A H M Shabetuzzaman</t>
        </is>
      </c>
      <c r="D19" s="11" t="inlineStr">
        <is>
          <t>Bogura GEN-A-3</t>
        </is>
      </c>
      <c r="E19" s="11" t="inlineStr">
        <is>
          <t>Mr. Md. Habibullah Belaly</t>
        </is>
      </c>
      <c r="F19" s="10" t="n">
        <v>10145</v>
      </c>
      <c r="G19" s="11" t="inlineStr">
        <is>
          <t>Bogura-7</t>
        </is>
      </c>
      <c r="H19" s="10" t="n">
        <v>1449</v>
      </c>
      <c r="I19" s="11" t="inlineStr">
        <is>
          <t>Md. Rohidul Islam</t>
        </is>
      </c>
      <c r="J19" s="10">
        <f>IF(K19&gt;0, "Completed", "Pending")</f>
        <v/>
      </c>
      <c r="K19" s="10">
        <f>COUNTIF('Survey Responses'!F:F, F19)</f>
        <v/>
      </c>
    </row>
    <row r="20">
      <c r="A20" s="10" t="n">
        <v>19</v>
      </c>
      <c r="B20" s="11" t="inlineStr">
        <is>
          <t>Bogura (GEN-A)</t>
        </is>
      </c>
      <c r="C20" s="11" t="inlineStr">
        <is>
          <t>Mr. A H M Shabetuzzaman</t>
        </is>
      </c>
      <c r="D20" s="11" t="inlineStr">
        <is>
          <t>Bogura GEN-A-3</t>
        </is>
      </c>
      <c r="E20" s="11" t="inlineStr">
        <is>
          <t>Mr. Md. Habibullah Belaly</t>
        </is>
      </c>
      <c r="F20" s="10" t="n">
        <v>10164</v>
      </c>
      <c r="G20" s="11" t="inlineStr">
        <is>
          <t>Dhunot</t>
        </is>
      </c>
      <c r="H20" s="10" t="n">
        <v>763</v>
      </c>
      <c r="I20" s="11" t="inlineStr">
        <is>
          <t>Md. Robiul Islam</t>
        </is>
      </c>
      <c r="J20" s="10">
        <f>IF(K20&gt;0, "Completed", "Pending")</f>
        <v/>
      </c>
      <c r="K20" s="10">
        <f>COUNTIF('Survey Responses'!F:F, F20)</f>
        <v/>
      </c>
    </row>
    <row r="21">
      <c r="A21" s="10" t="n">
        <v>20</v>
      </c>
      <c r="B21" s="11" t="inlineStr">
        <is>
          <t>Bogura (GEN-A)</t>
        </is>
      </c>
      <c r="C21" s="11" t="inlineStr">
        <is>
          <t>Mr. A H M Shabetuzzaman</t>
        </is>
      </c>
      <c r="D21" s="11" t="inlineStr">
        <is>
          <t>Bogura GEN-A-3</t>
        </is>
      </c>
      <c r="E21" s="11" t="inlineStr">
        <is>
          <t>Mr. Md. Habibullah Belaly</t>
        </is>
      </c>
      <c r="F21" s="10" t="n">
        <v>14140</v>
      </c>
      <c r="G21" s="11" t="inlineStr">
        <is>
          <t>Shajahanpur-1</t>
        </is>
      </c>
      <c r="H21" s="10" t="n">
        <v>7506</v>
      </c>
      <c r="I21" s="11" t="inlineStr">
        <is>
          <t>Mr. Md. Nurul Islam Nahid</t>
        </is>
      </c>
      <c r="J21" s="10">
        <f>IF(K21&gt;0, "Completed", "Pending")</f>
        <v/>
      </c>
      <c r="K21" s="10">
        <f>COUNTIF('Survey Responses'!F:F, F21)</f>
        <v/>
      </c>
    </row>
    <row r="22">
      <c r="A22" s="10" t="n">
        <v>21</v>
      </c>
      <c r="B22" s="11" t="inlineStr">
        <is>
          <t>Bogura (GEN-A)</t>
        </is>
      </c>
      <c r="C22" s="11" t="inlineStr">
        <is>
          <t>Mr. A H M Shabetuzzaman</t>
        </is>
      </c>
      <c r="D22" s="11" t="inlineStr">
        <is>
          <t>Bogura GEN-A-3</t>
        </is>
      </c>
      <c r="E22" s="11" t="inlineStr">
        <is>
          <t>Mr. Md. Habibullah Belaly</t>
        </is>
      </c>
      <c r="F22" s="10" t="n">
        <v>10141</v>
      </c>
      <c r="G22" s="11" t="inlineStr">
        <is>
          <t>Sonatola</t>
        </is>
      </c>
      <c r="H22" s="10" t="n">
        <v>1727</v>
      </c>
      <c r="I22" s="11" t="inlineStr">
        <is>
          <t>Md. Jahangir Alam</t>
        </is>
      </c>
      <c r="J22" s="10">
        <f>IF(K22&gt;0, "Completed", "Pending")</f>
        <v/>
      </c>
      <c r="K22" s="10">
        <f>COUNTIF('Survey Responses'!F:F, F22)</f>
        <v/>
      </c>
    </row>
    <row r="23">
      <c r="A23" s="10" t="n">
        <v>22</v>
      </c>
      <c r="B23" s="11" t="inlineStr">
        <is>
          <t>Bogura (GEN-A)</t>
        </is>
      </c>
      <c r="C23" s="11" t="inlineStr">
        <is>
          <t>Mr. A H M Shabetuzzaman</t>
        </is>
      </c>
      <c r="D23" s="11" t="inlineStr">
        <is>
          <t>Dupchachia GEN-A-1</t>
        </is>
      </c>
      <c r="E23" s="11" t="inlineStr">
        <is>
          <t>Md. Jahir Uddin Babor</t>
        </is>
      </c>
      <c r="F23" s="10" t="n">
        <v>10191</v>
      </c>
      <c r="G23" s="11" t="inlineStr">
        <is>
          <t>Akkelpur</t>
        </is>
      </c>
      <c r="H23" s="10" t="n">
        <v>1934</v>
      </c>
      <c r="I23" s="11" t="inlineStr">
        <is>
          <t>Md. Mezbah Uddin Bhuiyan</t>
        </is>
      </c>
      <c r="J23" s="10">
        <f>IF(K23&gt;0, "Completed", "Pending")</f>
        <v/>
      </c>
      <c r="K23" s="10">
        <f>COUNTIF('Survey Responses'!F:F, F23)</f>
        <v/>
      </c>
    </row>
    <row r="24">
      <c r="A24" s="10" t="n">
        <v>23</v>
      </c>
      <c r="B24" s="11" t="inlineStr">
        <is>
          <t>Bogura (GEN-A)</t>
        </is>
      </c>
      <c r="C24" s="11" t="inlineStr">
        <is>
          <t>Mr. A H M Shabetuzzaman</t>
        </is>
      </c>
      <c r="D24" s="11" t="inlineStr">
        <is>
          <t>Dupchachia GEN-A-1</t>
        </is>
      </c>
      <c r="E24" s="11" t="inlineStr">
        <is>
          <t>Md. Jahir Uddin Babor</t>
        </is>
      </c>
      <c r="F24" s="10" t="n">
        <v>10133</v>
      </c>
      <c r="G24" s="11" t="inlineStr">
        <is>
          <t>Dhupchachia-1</t>
        </is>
      </c>
      <c r="H24" s="10" t="n">
        <v>2859</v>
      </c>
      <c r="I24" s="11" t="inlineStr">
        <is>
          <t>Monjurul Islam</t>
        </is>
      </c>
      <c r="J24" s="10">
        <f>IF(K24&gt;0, "Completed", "Pending")</f>
        <v/>
      </c>
      <c r="K24" s="10">
        <f>COUNTIF('Survey Responses'!F:F, F24)</f>
        <v/>
      </c>
    </row>
    <row r="25">
      <c r="A25" s="10" t="n">
        <v>24</v>
      </c>
      <c r="B25" s="11" t="inlineStr">
        <is>
          <t>Bogura (GEN-A)</t>
        </is>
      </c>
      <c r="C25" s="11" t="inlineStr">
        <is>
          <t>Mr. A H M Shabetuzzaman</t>
        </is>
      </c>
      <c r="D25" s="11" t="inlineStr">
        <is>
          <t>Dupchachia GEN-A-1</t>
        </is>
      </c>
      <c r="E25" s="11" t="inlineStr">
        <is>
          <t>Md. Jahir Uddin Babor</t>
        </is>
      </c>
      <c r="F25" s="10" t="n">
        <v>10134</v>
      </c>
      <c r="G25" s="11" t="inlineStr">
        <is>
          <t>Dhupchachia-2</t>
        </is>
      </c>
      <c r="H25" s="10" t="n">
        <v>6706</v>
      </c>
      <c r="I25" s="11" t="inlineStr">
        <is>
          <t>Mr. Md. Apel Mahamud</t>
        </is>
      </c>
      <c r="J25" s="10">
        <f>IF(K25&gt;0, "Completed", "Pending")</f>
        <v/>
      </c>
      <c r="K25" s="10">
        <f>COUNTIF('Survey Responses'!F:F, F25)</f>
        <v/>
      </c>
    </row>
    <row r="26">
      <c r="A26" s="10" t="n">
        <v>25</v>
      </c>
      <c r="B26" s="11" t="inlineStr">
        <is>
          <t>Bogura (GEN-A)</t>
        </is>
      </c>
      <c r="C26" s="11" t="inlineStr">
        <is>
          <t>Mr. A H M Shabetuzzaman</t>
        </is>
      </c>
      <c r="D26" s="11" t="inlineStr">
        <is>
          <t>Dupchachia GEN-A-1</t>
        </is>
      </c>
      <c r="E26" s="11" t="inlineStr">
        <is>
          <t>Md. Jahir Uddin Babor</t>
        </is>
      </c>
      <c r="F26" s="10" t="n">
        <v>13049</v>
      </c>
      <c r="G26" s="11" t="inlineStr">
        <is>
          <t>Dhupchachia-3</t>
        </is>
      </c>
      <c r="H26" s="10" t="n">
        <v>5811</v>
      </c>
      <c r="I26" s="11" t="inlineStr">
        <is>
          <t>Mr. Gour Pada Mondol</t>
        </is>
      </c>
      <c r="J26" s="10">
        <f>IF(K26&gt;0, "Completed", "Pending")</f>
        <v/>
      </c>
      <c r="K26" s="10">
        <f>COUNTIF('Survey Responses'!F:F, F26)</f>
        <v/>
      </c>
    </row>
    <row r="27">
      <c r="A27" s="10" t="n">
        <v>26</v>
      </c>
      <c r="B27" s="11" t="inlineStr">
        <is>
          <t>Bogura (GEN-A)</t>
        </is>
      </c>
      <c r="C27" s="11" t="inlineStr">
        <is>
          <t>Mr. A H M Shabetuzzaman</t>
        </is>
      </c>
      <c r="D27" s="11" t="inlineStr">
        <is>
          <t>Dupchachia GEN-A-1</t>
        </is>
      </c>
      <c r="E27" s="11" t="inlineStr">
        <is>
          <t>Md. Jahir Uddin Babor</t>
        </is>
      </c>
      <c r="F27" s="10" t="n">
        <v>12200</v>
      </c>
      <c r="G27" s="11" t="inlineStr">
        <is>
          <t>Kahalu-1</t>
        </is>
      </c>
      <c r="H27" s="10" t="n">
        <v>3816</v>
      </c>
      <c r="I27" s="11" t="inlineStr">
        <is>
          <t>Mr. Md. Zahid Rahman</t>
        </is>
      </c>
      <c r="J27" s="10">
        <f>IF(K27&gt;0, "Completed", "Pending")</f>
        <v/>
      </c>
      <c r="K27" s="10">
        <f>COUNTIF('Survey Responses'!F:F, F27)</f>
        <v/>
      </c>
    </row>
    <row r="28">
      <c r="A28" s="10" t="n">
        <v>27</v>
      </c>
      <c r="B28" s="11" t="inlineStr">
        <is>
          <t>Bogura (GEN-A)</t>
        </is>
      </c>
      <c r="C28" s="11" t="inlineStr">
        <is>
          <t>Mr. A H M Shabetuzzaman</t>
        </is>
      </c>
      <c r="D28" s="11" t="inlineStr">
        <is>
          <t>Dupchachia GEN-A-1</t>
        </is>
      </c>
      <c r="E28" s="11" t="inlineStr">
        <is>
          <t>Md. Jahir Uddin Babor</t>
        </is>
      </c>
      <c r="F28" s="10" t="n">
        <v>12287</v>
      </c>
      <c r="G28" s="11" t="inlineStr">
        <is>
          <t>Kalai-1</t>
        </is>
      </c>
      <c r="H28" s="10" t="n">
        <v>3666</v>
      </c>
      <c r="I28" s="11" t="inlineStr">
        <is>
          <t>Mr. Md. Sameem Ali</t>
        </is>
      </c>
      <c r="J28" s="10">
        <f>IF(K28&gt;0, "Completed", "Pending")</f>
        <v/>
      </c>
      <c r="K28" s="10">
        <f>COUNTIF('Survey Responses'!F:F, F28)</f>
        <v/>
      </c>
    </row>
    <row r="29">
      <c r="A29" s="10" t="n">
        <v>28</v>
      </c>
      <c r="B29" s="11" t="inlineStr">
        <is>
          <t>Bogura (GEN-A)</t>
        </is>
      </c>
      <c r="C29" s="11" t="inlineStr">
        <is>
          <t>Mr. A H M Shabetuzzaman</t>
        </is>
      </c>
      <c r="D29" s="11" t="inlineStr">
        <is>
          <t>Dupchachia GEN-A-1</t>
        </is>
      </c>
      <c r="E29" s="11" t="inlineStr">
        <is>
          <t>Md. Jahir Uddin Babor</t>
        </is>
      </c>
      <c r="F29" s="10" t="n">
        <v>13632</v>
      </c>
      <c r="G29" s="11" t="inlineStr">
        <is>
          <t>Khetlal -1</t>
        </is>
      </c>
      <c r="H29" s="10" t="n">
        <v>1505</v>
      </c>
      <c r="I29" s="11" t="inlineStr">
        <is>
          <t>Md. Kamrul Hasan</t>
        </is>
      </c>
      <c r="J29" s="10">
        <f>IF(K29&gt;0, "Completed", "Pending")</f>
        <v/>
      </c>
      <c r="K29" s="10">
        <f>COUNTIF('Survey Responses'!F:F, F29)</f>
        <v/>
      </c>
    </row>
    <row r="30">
      <c r="A30" s="10" t="n">
        <v>29</v>
      </c>
      <c r="B30" s="11" t="inlineStr">
        <is>
          <t>Bogura (GEN-A)</t>
        </is>
      </c>
      <c r="C30" s="11" t="inlineStr">
        <is>
          <t>Mr. A H M Shabetuzzaman</t>
        </is>
      </c>
      <c r="D30" s="11" t="inlineStr">
        <is>
          <t>Naogoan GEN-A-2</t>
        </is>
      </c>
      <c r="E30" s="11" t="inlineStr">
        <is>
          <t>Mr. Anwar Hossain</t>
        </is>
      </c>
      <c r="F30" s="10" t="n">
        <v>14703</v>
      </c>
      <c r="G30" s="11" t="inlineStr">
        <is>
          <t>Badolgachi</t>
        </is>
      </c>
      <c r="H30" s="10" t="n">
        <v>2392</v>
      </c>
      <c r="I30" s="11" t="inlineStr">
        <is>
          <t>Mr. Hasan Mahmud Riad</t>
        </is>
      </c>
      <c r="J30" s="10">
        <f>IF(K30&gt;0, "Completed", "Pending")</f>
        <v/>
      </c>
      <c r="K30" s="10">
        <f>COUNTIF('Survey Responses'!F:F, F30)</f>
        <v/>
      </c>
    </row>
    <row r="31">
      <c r="A31" s="10" t="n">
        <v>30</v>
      </c>
      <c r="B31" s="11" t="inlineStr">
        <is>
          <t>Bogura (GEN-A)</t>
        </is>
      </c>
      <c r="C31" s="11" t="inlineStr">
        <is>
          <t>Mr. A H M Shabetuzzaman</t>
        </is>
      </c>
      <c r="D31" s="11" t="inlineStr">
        <is>
          <t>Naogoan GEN-A-2</t>
        </is>
      </c>
      <c r="E31" s="11" t="inlineStr">
        <is>
          <t>Mr. Anwar Hossain</t>
        </is>
      </c>
      <c r="F31" s="10" t="n">
        <v>10263</v>
      </c>
      <c r="G31" s="11" t="inlineStr">
        <is>
          <t>Mohadevpur-1</t>
        </is>
      </c>
      <c r="H31" s="10" t="n">
        <v>2886</v>
      </c>
      <c r="I31" s="11" t="inlineStr">
        <is>
          <t>Md. Rokibul Hasan</t>
        </is>
      </c>
      <c r="J31" s="10">
        <f>IF(K31&gt;0, "Completed", "Pending")</f>
        <v/>
      </c>
      <c r="K31" s="10">
        <f>COUNTIF('Survey Responses'!F:F, F31)</f>
        <v/>
      </c>
    </row>
    <row r="32">
      <c r="A32" s="10" t="n">
        <v>31</v>
      </c>
      <c r="B32" s="11" t="inlineStr">
        <is>
          <t>Bogura (GEN-A)</t>
        </is>
      </c>
      <c r="C32" s="11" t="inlineStr">
        <is>
          <t>Mr. A H M Shabetuzzaman</t>
        </is>
      </c>
      <c r="D32" s="11" t="inlineStr">
        <is>
          <t>Naogoan GEN-A-2</t>
        </is>
      </c>
      <c r="E32" s="11" t="inlineStr">
        <is>
          <t>Mr. Anwar Hossain</t>
        </is>
      </c>
      <c r="F32" s="10" t="n">
        <v>10266</v>
      </c>
      <c r="G32" s="11" t="inlineStr">
        <is>
          <t>Mohadevpur-2</t>
        </is>
      </c>
      <c r="H32" s="10" t="n">
        <v>1740</v>
      </c>
      <c r="I32" s="11" t="inlineStr">
        <is>
          <t>Md. Sazeman Ali</t>
        </is>
      </c>
      <c r="J32" s="10">
        <f>IF(K32&gt;0, "Completed", "Pending")</f>
        <v/>
      </c>
      <c r="K32" s="10">
        <f>COUNTIF('Survey Responses'!F:F, F32)</f>
        <v/>
      </c>
    </row>
    <row r="33">
      <c r="A33" s="10" t="n">
        <v>32</v>
      </c>
      <c r="B33" s="11" t="inlineStr">
        <is>
          <t>Bogura (GEN-A)</t>
        </is>
      </c>
      <c r="C33" s="11" t="inlineStr">
        <is>
          <t>Mr. A H M Shabetuzzaman</t>
        </is>
      </c>
      <c r="D33" s="11" t="inlineStr">
        <is>
          <t>Naogoan GEN-A-2</t>
        </is>
      </c>
      <c r="E33" s="11" t="inlineStr">
        <is>
          <t>Mr. Anwar Hossain</t>
        </is>
      </c>
      <c r="F33" s="10" t="n">
        <v>12958</v>
      </c>
      <c r="G33" s="11" t="inlineStr">
        <is>
          <t>Mohadevpur-3</t>
        </is>
      </c>
      <c r="H33" s="10" t="n">
        <v>5203</v>
      </c>
      <c r="I33" s="11" t="inlineStr">
        <is>
          <t>Mr. Nabadip Chandra Roy</t>
        </is>
      </c>
      <c r="J33" s="10">
        <f>IF(K33&gt;0, "Completed", "Pending")</f>
        <v/>
      </c>
      <c r="K33" s="10">
        <f>COUNTIF('Survey Responses'!F:F, F33)</f>
        <v/>
      </c>
    </row>
    <row r="34">
      <c r="A34" s="10" t="n">
        <v>33</v>
      </c>
      <c r="B34" s="11" t="inlineStr">
        <is>
          <t>Bogura (GEN-A)</t>
        </is>
      </c>
      <c r="C34" s="11" t="inlineStr">
        <is>
          <t>Mr. A H M Shabetuzzaman</t>
        </is>
      </c>
      <c r="D34" s="11" t="inlineStr">
        <is>
          <t>Naogoan GEN-A-2</t>
        </is>
      </c>
      <c r="E34" s="11" t="inlineStr">
        <is>
          <t>Mr. Anwar Hossain</t>
        </is>
      </c>
      <c r="F34" s="10" t="n">
        <v>10129</v>
      </c>
      <c r="G34" s="11" t="inlineStr">
        <is>
          <t>Naogaon-2</t>
        </is>
      </c>
      <c r="H34" s="10" t="n">
        <v>2284</v>
      </c>
      <c r="I34" s="11" t="inlineStr">
        <is>
          <t>Md. Masudur Rahman</t>
        </is>
      </c>
      <c r="J34" s="10">
        <f>IF(K34&gt;0, "Completed", "Pending")</f>
        <v/>
      </c>
      <c r="K34" s="10">
        <f>COUNTIF('Survey Responses'!F:F, F34)</f>
        <v/>
      </c>
    </row>
    <row r="35">
      <c r="A35" s="10" t="n">
        <v>34</v>
      </c>
      <c r="B35" s="11" t="inlineStr">
        <is>
          <t>Bogura (GEN-A)</t>
        </is>
      </c>
      <c r="C35" s="11" t="inlineStr">
        <is>
          <t>Mr. A H M Shabetuzzaman</t>
        </is>
      </c>
      <c r="D35" s="11" t="inlineStr">
        <is>
          <t>Naogoan GEN-A-2</t>
        </is>
      </c>
      <c r="E35" s="11" t="inlineStr">
        <is>
          <t>Mr. Anwar Hossain</t>
        </is>
      </c>
      <c r="F35" s="10" t="n">
        <v>10132</v>
      </c>
      <c r="G35" s="11" t="inlineStr">
        <is>
          <t>Naogaon-4</t>
        </is>
      </c>
      <c r="H35" s="10" t="n">
        <v>6447</v>
      </c>
      <c r="I35" s="11" t="inlineStr">
        <is>
          <t>Mr. Devdas Kumar</t>
        </is>
      </c>
      <c r="J35" s="10">
        <f>IF(K35&gt;0, "Completed", "Pending")</f>
        <v/>
      </c>
      <c r="K35" s="10">
        <f>COUNTIF('Survey Responses'!F:F, F35)</f>
        <v/>
      </c>
    </row>
    <row r="36">
      <c r="A36" s="10" t="n">
        <v>35</v>
      </c>
      <c r="B36" s="11" t="inlineStr">
        <is>
          <t>Bogura (GEN-A)</t>
        </is>
      </c>
      <c r="C36" s="11" t="inlineStr">
        <is>
          <t>Mr. A H M Shabetuzzaman</t>
        </is>
      </c>
      <c r="D36" s="11" t="inlineStr">
        <is>
          <t>Naogoan GEN-A-2</t>
        </is>
      </c>
      <c r="E36" s="11" t="inlineStr">
        <is>
          <t>Mr. Anwar Hossain</t>
        </is>
      </c>
      <c r="F36" s="10" t="n">
        <v>14888</v>
      </c>
      <c r="G36" s="11" t="inlineStr">
        <is>
          <t>Naogaon-6</t>
        </is>
      </c>
      <c r="H36" s="10" t="n">
        <v>9055</v>
      </c>
      <c r="I36" s="11" t="inlineStr">
        <is>
          <t>Mr. Al- Amin Sheikh</t>
        </is>
      </c>
      <c r="J36" s="10">
        <f>IF(K36&gt;0, "Completed", "Pending")</f>
        <v/>
      </c>
      <c r="K36" s="10">
        <f>COUNTIF('Survey Responses'!F:F, F36)</f>
        <v/>
      </c>
    </row>
    <row r="37">
      <c r="A37" s="10" t="n">
        <v>36</v>
      </c>
      <c r="B37" s="11" t="inlineStr">
        <is>
          <t>Bogura (GEN-A)</t>
        </is>
      </c>
      <c r="C37" s="11" t="inlineStr">
        <is>
          <t>Mr. A H M Shabetuzzaman</t>
        </is>
      </c>
      <c r="D37" s="11" t="inlineStr">
        <is>
          <t>Noagaon GEN-A-1</t>
        </is>
      </c>
      <c r="E37" s="11" t="inlineStr">
        <is>
          <t>Mehedi Hasan</t>
        </is>
      </c>
      <c r="F37" s="10" t="n">
        <v>14141</v>
      </c>
      <c r="G37" s="11" t="inlineStr">
        <is>
          <t>Adamdighi-1</t>
        </is>
      </c>
      <c r="H37" s="10" t="n">
        <v>7510</v>
      </c>
      <c r="I37" s="11" t="inlineStr">
        <is>
          <t>Mr. Isfak Ahamed</t>
        </is>
      </c>
      <c r="J37" s="10">
        <f>IF(K37&gt;0, "Completed", "Pending")</f>
        <v/>
      </c>
      <c r="K37" s="10">
        <f>COUNTIF('Survey Responses'!F:F, F37)</f>
        <v/>
      </c>
    </row>
    <row r="38">
      <c r="A38" s="10" t="n">
        <v>37</v>
      </c>
      <c r="B38" s="11" t="inlineStr">
        <is>
          <t>Bogura (GEN-A)</t>
        </is>
      </c>
      <c r="C38" s="11" t="inlineStr">
        <is>
          <t>Mr. A H M Shabetuzzaman</t>
        </is>
      </c>
      <c r="D38" s="11" t="inlineStr">
        <is>
          <t>Noagaon GEN-A-1</t>
        </is>
      </c>
      <c r="E38" s="11" t="inlineStr">
        <is>
          <t>Mehedi Hasan</t>
        </is>
      </c>
      <c r="F38" s="10" t="n">
        <v>10135</v>
      </c>
      <c r="G38" s="11" t="inlineStr">
        <is>
          <t>Atrai</t>
        </is>
      </c>
      <c r="H38" s="10" t="n">
        <v>8587</v>
      </c>
      <c r="I38" s="11" t="inlineStr">
        <is>
          <t>Mr. Md. Mazidul Islam</t>
        </is>
      </c>
      <c r="J38" s="10">
        <f>IF(K38&gt;0, "Completed", "Pending")</f>
        <v/>
      </c>
      <c r="K38" s="10">
        <f>COUNTIF('Survey Responses'!F:F, F38)</f>
        <v/>
      </c>
    </row>
    <row r="39">
      <c r="A39" s="10" t="n">
        <v>38</v>
      </c>
      <c r="B39" s="11" t="inlineStr">
        <is>
          <t>Bogura (GEN-A)</t>
        </is>
      </c>
      <c r="C39" s="11" t="inlineStr">
        <is>
          <t>Mr. A H M Shabetuzzaman</t>
        </is>
      </c>
      <c r="D39" s="11" t="inlineStr">
        <is>
          <t>Noagaon GEN-A-1</t>
        </is>
      </c>
      <c r="E39" s="11" t="inlineStr">
        <is>
          <t>Mehedi Hasan</t>
        </is>
      </c>
      <c r="F39" s="10" t="n">
        <v>10130</v>
      </c>
      <c r="G39" s="11" t="inlineStr">
        <is>
          <t>Naogaon-1</t>
        </is>
      </c>
      <c r="H39" s="10" t="n">
        <v>6901</v>
      </c>
      <c r="I39" s="11" t="inlineStr">
        <is>
          <t>Mr. Md. Tariqul Islam</t>
        </is>
      </c>
      <c r="J39" s="10">
        <f>IF(K39&gt;0, "Completed", "Pending")</f>
        <v/>
      </c>
      <c r="K39" s="10">
        <f>COUNTIF('Survey Responses'!F:F, F39)</f>
        <v/>
      </c>
    </row>
    <row r="40">
      <c r="A40" s="10" t="n">
        <v>39</v>
      </c>
      <c r="B40" s="11" t="inlineStr">
        <is>
          <t>Bogura (GEN-A)</t>
        </is>
      </c>
      <c r="C40" s="11" t="inlineStr">
        <is>
          <t>Mr. A H M Shabetuzzaman</t>
        </is>
      </c>
      <c r="D40" s="11" t="inlineStr">
        <is>
          <t>Noagaon GEN-A-1</t>
        </is>
      </c>
      <c r="E40" s="11" t="inlineStr">
        <is>
          <t>Mehedi Hasan</t>
        </is>
      </c>
      <c r="F40" s="10" t="n">
        <v>10131</v>
      </c>
      <c r="G40" s="11" t="inlineStr">
        <is>
          <t>Naogaon-3</t>
        </is>
      </c>
      <c r="H40" s="10" t="n">
        <v>1266</v>
      </c>
      <c r="I40" s="11" t="inlineStr">
        <is>
          <t>Md. Alamgir Kabir</t>
        </is>
      </c>
      <c r="J40" s="10">
        <f>IF(K40&gt;0, "Completed", "Pending")</f>
        <v/>
      </c>
      <c r="K40" s="10">
        <f>COUNTIF('Survey Responses'!F:F, F40)</f>
        <v/>
      </c>
    </row>
    <row r="41">
      <c r="A41" s="10" t="n">
        <v>40</v>
      </c>
      <c r="B41" s="11" t="inlineStr">
        <is>
          <t>Bogura (GEN-A)</t>
        </is>
      </c>
      <c r="C41" s="11" t="inlineStr">
        <is>
          <t>Mr. A H M Shabetuzzaman</t>
        </is>
      </c>
      <c r="D41" s="11" t="inlineStr">
        <is>
          <t>Noagaon GEN-A-1</t>
        </is>
      </c>
      <c r="E41" s="11" t="inlineStr">
        <is>
          <t>Mehedi Hasan</t>
        </is>
      </c>
      <c r="F41" s="10" t="n">
        <v>12280</v>
      </c>
      <c r="G41" s="11" t="inlineStr">
        <is>
          <t>Naogaon-5</t>
        </is>
      </c>
      <c r="H41" s="10" t="n">
        <v>3992</v>
      </c>
      <c r="I41" s="11" t="inlineStr">
        <is>
          <t>Mr. Forhat Hossain Limon</t>
        </is>
      </c>
      <c r="J41" s="10">
        <f>IF(K41&gt;0, "Completed", "Pending")</f>
        <v/>
      </c>
      <c r="K41" s="10">
        <f>COUNTIF('Survey Responses'!F:F, F41)</f>
        <v/>
      </c>
    </row>
    <row r="42">
      <c r="A42" s="10" t="n">
        <v>41</v>
      </c>
      <c r="B42" s="11" t="inlineStr">
        <is>
          <t>Bogura (GEN-A)</t>
        </is>
      </c>
      <c r="C42" s="11" t="inlineStr">
        <is>
          <t>Mr. A H M Shabetuzzaman</t>
        </is>
      </c>
      <c r="D42" s="11" t="inlineStr">
        <is>
          <t>Noagaon GEN-A-1</t>
        </is>
      </c>
      <c r="E42" s="11" t="inlineStr">
        <is>
          <t>Mehedi Hasan</t>
        </is>
      </c>
      <c r="F42" s="10" t="n">
        <v>10128</v>
      </c>
      <c r="G42" s="11" t="inlineStr">
        <is>
          <t>Raninagor</t>
        </is>
      </c>
      <c r="H42" s="10" t="n">
        <v>3968</v>
      </c>
      <c r="I42" s="11" t="inlineStr">
        <is>
          <t>Mr. Kausar Hossain</t>
        </is>
      </c>
      <c r="J42" s="10">
        <f>IF(K42&gt;0, "Completed", "Pending")</f>
        <v/>
      </c>
      <c r="K42" s="10">
        <f>COUNTIF('Survey Responses'!F:F, F42)</f>
        <v/>
      </c>
    </row>
    <row r="43">
      <c r="A43" s="10" t="n">
        <v>42</v>
      </c>
      <c r="B43" s="11" t="inlineStr">
        <is>
          <t>Bogura (GEN-A)</t>
        </is>
      </c>
      <c r="C43" s="11" t="inlineStr">
        <is>
          <t>Mr. A H M Shabetuzzaman</t>
        </is>
      </c>
      <c r="D43" s="11" t="inlineStr">
        <is>
          <t>Noagaon GEN-A-1</t>
        </is>
      </c>
      <c r="E43" s="11" t="inlineStr">
        <is>
          <t>Mehedi Hasan</t>
        </is>
      </c>
      <c r="F43" s="10" t="n">
        <v>14543</v>
      </c>
      <c r="G43" s="11" t="inlineStr">
        <is>
          <t>Raninagor-2</t>
        </is>
      </c>
      <c r="H43" s="10" t="n">
        <v>7661</v>
      </c>
      <c r="I43" s="11" t="inlineStr">
        <is>
          <t>Mr. Nikunga Chandra Das</t>
        </is>
      </c>
      <c r="J43" s="10">
        <f>IF(K43&gt;0, "Completed", "Pending")</f>
        <v/>
      </c>
      <c r="K43" s="10">
        <f>COUNTIF('Survey Responses'!F:F, F43)</f>
        <v/>
      </c>
    </row>
    <row r="44">
      <c r="A44" s="10" t="n">
        <v>43</v>
      </c>
      <c r="B44" s="11" t="inlineStr">
        <is>
          <t>Bogura (GEN-A)</t>
        </is>
      </c>
      <c r="C44" s="11" t="inlineStr">
        <is>
          <t>Mr. A H M Shabetuzzaman</t>
        </is>
      </c>
      <c r="D44" s="11" t="inlineStr">
        <is>
          <t>Sherpur (BOG) GEN-A-1</t>
        </is>
      </c>
      <c r="E44" s="11" t="inlineStr">
        <is>
          <t>Md. Ariful Islam</t>
        </is>
      </c>
      <c r="F44" s="10" t="n">
        <v>10163</v>
      </c>
      <c r="G44" s="11" t="inlineStr">
        <is>
          <t>Chandaikona</t>
        </is>
      </c>
      <c r="H44" s="10" t="n">
        <v>2282</v>
      </c>
      <c r="I44" s="11" t="inlineStr">
        <is>
          <t>Md. Arshadul Haque</t>
        </is>
      </c>
      <c r="J44" s="10">
        <f>IF(K44&gt;0, "Completed", "Pending")</f>
        <v/>
      </c>
      <c r="K44" s="10">
        <f>COUNTIF('Survey Responses'!F:F, F44)</f>
        <v/>
      </c>
    </row>
    <row r="45">
      <c r="A45" s="10" t="n">
        <v>44</v>
      </c>
      <c r="B45" s="11" t="inlineStr">
        <is>
          <t>Bogura (GEN-A)</t>
        </is>
      </c>
      <c r="C45" s="11" t="inlineStr">
        <is>
          <t>Mr. A H M Shabetuzzaman</t>
        </is>
      </c>
      <c r="D45" s="11" t="inlineStr">
        <is>
          <t>Sherpur (BOG) GEN-A-1</t>
        </is>
      </c>
      <c r="E45" s="11" t="inlineStr">
        <is>
          <t>Md. Ariful Islam</t>
        </is>
      </c>
      <c r="F45" s="10" t="n">
        <v>10161</v>
      </c>
      <c r="G45" s="11" t="inlineStr">
        <is>
          <t>Kazipur-1</t>
        </is>
      </c>
      <c r="H45" s="10" t="n">
        <v>855</v>
      </c>
      <c r="I45" s="11" t="inlineStr">
        <is>
          <t>Md. Fazlul Karim</t>
        </is>
      </c>
      <c r="J45" s="10">
        <f>IF(K45&gt;0, "Completed", "Pending")</f>
        <v/>
      </c>
      <c r="K45" s="10">
        <f>COUNTIF('Survey Responses'!F:F, F45)</f>
        <v/>
      </c>
    </row>
    <row r="46">
      <c r="A46" s="10" t="n">
        <v>45</v>
      </c>
      <c r="B46" s="11" t="inlineStr">
        <is>
          <t>Bogura (GEN-A)</t>
        </is>
      </c>
      <c r="C46" s="11" t="inlineStr">
        <is>
          <t>Mr. A H M Shabetuzzaman</t>
        </is>
      </c>
      <c r="D46" s="11" t="inlineStr">
        <is>
          <t>Sherpur (BOG) GEN-A-1</t>
        </is>
      </c>
      <c r="E46" s="11" t="inlineStr">
        <is>
          <t>Md. Ariful Islam</t>
        </is>
      </c>
      <c r="F46" s="10" t="n">
        <v>13482</v>
      </c>
      <c r="G46" s="11" t="inlineStr">
        <is>
          <t>Kazipur-2</t>
        </is>
      </c>
      <c r="H46" s="10" t="n">
        <v>7116</v>
      </c>
      <c r="I46" s="11" t="inlineStr">
        <is>
          <t>Mr. Sabbir Hasan</t>
        </is>
      </c>
      <c r="J46" s="10">
        <f>IF(K46&gt;0, "Completed", "Pending")</f>
        <v/>
      </c>
      <c r="K46" s="10">
        <f>COUNTIF('Survey Responses'!F:F, F46)</f>
        <v/>
      </c>
    </row>
    <row r="47">
      <c r="A47" s="10" t="n">
        <v>46</v>
      </c>
      <c r="B47" s="11" t="inlineStr">
        <is>
          <t>Bogura (GEN-A)</t>
        </is>
      </c>
      <c r="C47" s="11" t="inlineStr">
        <is>
          <t>Mr. A H M Shabetuzzaman</t>
        </is>
      </c>
      <c r="D47" s="11" t="inlineStr">
        <is>
          <t>Sherpur (BOG) GEN-A-1</t>
        </is>
      </c>
      <c r="E47" s="11" t="inlineStr">
        <is>
          <t>Md. Ariful Islam</t>
        </is>
      </c>
      <c r="F47" s="10" t="n">
        <v>14594</v>
      </c>
      <c r="G47" s="11" t="inlineStr">
        <is>
          <t>Salanga-1</t>
        </is>
      </c>
      <c r="H47" s="10" t="n">
        <v>9054</v>
      </c>
      <c r="I47" s="11" t="inlineStr">
        <is>
          <t>Mr. Md. Merajul Howlader</t>
        </is>
      </c>
      <c r="J47" s="10">
        <f>IF(K47&gt;0, "Completed", "Pending")</f>
        <v/>
      </c>
      <c r="K47" s="10">
        <f>COUNTIF('Survey Responses'!F:F, F47)</f>
        <v/>
      </c>
    </row>
    <row r="48">
      <c r="A48" s="10" t="n">
        <v>47</v>
      </c>
      <c r="B48" s="11" t="inlineStr">
        <is>
          <t>Bogura (GEN-A)</t>
        </is>
      </c>
      <c r="C48" s="11" t="inlineStr">
        <is>
          <t>Mr. A H M Shabetuzzaman</t>
        </is>
      </c>
      <c r="D48" s="11" t="inlineStr">
        <is>
          <t>Sherpur (BOG) GEN-A-1</t>
        </is>
      </c>
      <c r="E48" s="11" t="inlineStr">
        <is>
          <t>Md. Ariful Islam</t>
        </is>
      </c>
      <c r="F48" s="10" t="n">
        <v>10158</v>
      </c>
      <c r="G48" s="11" t="inlineStr">
        <is>
          <t>Sherpur-1 (Bog)</t>
        </is>
      </c>
      <c r="H48" s="10" t="n">
        <v>5015</v>
      </c>
      <c r="I48" s="11" t="inlineStr">
        <is>
          <t>Mr. Md. Mahfuzur Rahman</t>
        </is>
      </c>
      <c r="J48" s="10">
        <f>IF(K48&gt;0, "Completed", "Pending")</f>
        <v/>
      </c>
      <c r="K48" s="10">
        <f>COUNTIF('Survey Responses'!F:F, F48)</f>
        <v/>
      </c>
    </row>
    <row r="49">
      <c r="A49" s="10" t="n">
        <v>48</v>
      </c>
      <c r="B49" s="11" t="inlineStr">
        <is>
          <t>Bogura (GEN-A)</t>
        </is>
      </c>
      <c r="C49" s="11" t="inlineStr">
        <is>
          <t>Mr. A H M Shabetuzzaman</t>
        </is>
      </c>
      <c r="D49" s="11" t="inlineStr">
        <is>
          <t>Sherpur (BOG) GEN-A-1</t>
        </is>
      </c>
      <c r="E49" s="11" t="inlineStr">
        <is>
          <t>Md. Ariful Islam</t>
        </is>
      </c>
      <c r="F49" s="10" t="n">
        <v>10159</v>
      </c>
      <c r="G49" s="11" t="inlineStr">
        <is>
          <t>Sherpur-2 (Bog)</t>
        </is>
      </c>
      <c r="H49" s="10" t="n">
        <v>7370</v>
      </c>
      <c r="I49" s="11" t="inlineStr">
        <is>
          <t>Mr. Md. Hafizur Rahman</t>
        </is>
      </c>
      <c r="J49" s="10">
        <f>IF(K49&gt;0, "Completed", "Pending")</f>
        <v/>
      </c>
      <c r="K49" s="10">
        <f>COUNTIF('Survey Responses'!F:F, F49)</f>
        <v/>
      </c>
    </row>
    <row r="50">
      <c r="A50" s="10" t="n">
        <v>49</v>
      </c>
      <c r="B50" s="11" t="inlineStr">
        <is>
          <t>Bogura (GEN-A)</t>
        </is>
      </c>
      <c r="C50" s="11" t="inlineStr">
        <is>
          <t>Mr. A H M Shabetuzzaman</t>
        </is>
      </c>
      <c r="D50" s="11" t="inlineStr">
        <is>
          <t>Sherpur (BOG) GEN-A-1</t>
        </is>
      </c>
      <c r="E50" s="11" t="inlineStr">
        <is>
          <t>Md. Ariful Islam</t>
        </is>
      </c>
      <c r="F50" s="10" t="n">
        <v>12942</v>
      </c>
      <c r="G50" s="11" t="inlineStr">
        <is>
          <t>Sherpur-3 (Bog)</t>
        </is>
      </c>
      <c r="H50" s="10" t="n">
        <v>5194</v>
      </c>
      <c r="I50" s="11" t="inlineStr">
        <is>
          <t>Mr. Biplob Kumar</t>
        </is>
      </c>
      <c r="J50" s="10">
        <f>IF(K50&gt;0, "Completed", "Pending")</f>
        <v/>
      </c>
      <c r="K50" s="10">
        <f>COUNTIF('Survey Responses'!F:F, F50)</f>
        <v/>
      </c>
    </row>
    <row r="51">
      <c r="A51" s="10" t="n">
        <v>50</v>
      </c>
      <c r="B51" s="11" t="inlineStr">
        <is>
          <t>Bogura (GEN-A)</t>
        </is>
      </c>
      <c r="C51" s="11" t="inlineStr">
        <is>
          <t>Mr. A H M Shabetuzzaman</t>
        </is>
      </c>
      <c r="D51" s="11" t="inlineStr">
        <is>
          <t>Sirajgonj GEN-A-1</t>
        </is>
      </c>
      <c r="E51" s="11" t="inlineStr">
        <is>
          <t>Md. Rabiul Alam</t>
        </is>
      </c>
      <c r="F51" s="10" t="n">
        <v>10152</v>
      </c>
      <c r="G51" s="11" t="inlineStr">
        <is>
          <t>Belkuchi</t>
        </is>
      </c>
      <c r="H51" s="10" t="n">
        <v>2774</v>
      </c>
      <c r="I51" s="11" t="inlineStr">
        <is>
          <t>Bakul Chandro Sarker</t>
        </is>
      </c>
      <c r="J51" s="10">
        <f>IF(K51&gt;0, "Completed", "Pending")</f>
        <v/>
      </c>
      <c r="K51" s="10">
        <f>COUNTIF('Survey Responses'!F:F, F51)</f>
        <v/>
      </c>
    </row>
    <row r="52">
      <c r="A52" s="10" t="n">
        <v>51</v>
      </c>
      <c r="B52" s="11" t="inlineStr">
        <is>
          <t>Bogura (GEN-A)</t>
        </is>
      </c>
      <c r="C52" s="11" t="inlineStr">
        <is>
          <t>Mr. A H M Shabetuzzaman</t>
        </is>
      </c>
      <c r="D52" s="11" t="inlineStr">
        <is>
          <t>Sirajgonj GEN-A-1</t>
        </is>
      </c>
      <c r="E52" s="11" t="inlineStr">
        <is>
          <t>Md. Rabiul Alam</t>
        </is>
      </c>
      <c r="F52" s="10" t="n">
        <v>12685</v>
      </c>
      <c r="G52" s="11" t="inlineStr">
        <is>
          <t>Enayetpur-1</t>
        </is>
      </c>
      <c r="H52" s="10" t="n">
        <v>3421</v>
      </c>
      <c r="I52" s="11" t="inlineStr">
        <is>
          <t>Mr. Md. Hasibul Islam</t>
        </is>
      </c>
      <c r="J52" s="10">
        <f>IF(K52&gt;0, "Completed", "Pending")</f>
        <v/>
      </c>
      <c r="K52" s="10">
        <f>COUNTIF('Survey Responses'!F:F, F52)</f>
        <v/>
      </c>
    </row>
    <row r="53">
      <c r="A53" s="10" t="n">
        <v>52</v>
      </c>
      <c r="B53" s="11" t="inlineStr">
        <is>
          <t>Bogura (GEN-A)</t>
        </is>
      </c>
      <c r="C53" s="11" t="inlineStr">
        <is>
          <t>Mr. A H M Shabetuzzaman</t>
        </is>
      </c>
      <c r="D53" s="11" t="inlineStr">
        <is>
          <t>Sirajgonj GEN-A-1</t>
        </is>
      </c>
      <c r="E53" s="11" t="inlineStr">
        <is>
          <t>Md. Rabiul Alam</t>
        </is>
      </c>
      <c r="F53" s="10" t="n">
        <v>14541</v>
      </c>
      <c r="G53" s="11" t="inlineStr">
        <is>
          <t>Kamarkhanda-1</t>
        </is>
      </c>
      <c r="H53" s="10" t="n">
        <v>7639</v>
      </c>
      <c r="I53" s="11" t="inlineStr">
        <is>
          <t>Mr. Sabbir Ahmed</t>
        </is>
      </c>
      <c r="J53" s="10">
        <f>IF(K53&gt;0, "Completed", "Pending")</f>
        <v/>
      </c>
      <c r="K53" s="10">
        <f>COUNTIF('Survey Responses'!F:F, F53)</f>
        <v/>
      </c>
    </row>
    <row r="54">
      <c r="A54" s="10" t="n">
        <v>53</v>
      </c>
      <c r="B54" s="11" t="inlineStr">
        <is>
          <t>Bogura (GEN-A)</t>
        </is>
      </c>
      <c r="C54" s="11" t="inlineStr">
        <is>
          <t>Mr. A H M Shabetuzzaman</t>
        </is>
      </c>
      <c r="D54" s="11" t="inlineStr">
        <is>
          <t>Sirajgonj GEN-A-1</t>
        </is>
      </c>
      <c r="E54" s="11" t="inlineStr">
        <is>
          <t>Md. Rabiul Alam</t>
        </is>
      </c>
      <c r="F54" s="10" t="n">
        <v>10156</v>
      </c>
      <c r="G54" s="11" t="inlineStr">
        <is>
          <t>Sirajgonj-1</t>
        </is>
      </c>
      <c r="H54" s="10" t="n">
        <v>8402</v>
      </c>
      <c r="I54" s="11" t="inlineStr">
        <is>
          <t>Mr. Md. Habibur Rahman</t>
        </is>
      </c>
      <c r="J54" s="10">
        <f>IF(K54&gt;0, "Completed", "Pending")</f>
        <v/>
      </c>
      <c r="K54" s="10">
        <f>COUNTIF('Survey Responses'!F:F, F54)</f>
        <v/>
      </c>
    </row>
    <row r="55">
      <c r="A55" s="10" t="n">
        <v>54</v>
      </c>
      <c r="B55" s="11" t="inlineStr">
        <is>
          <t>Bogura (GEN-A)</t>
        </is>
      </c>
      <c r="C55" s="11" t="inlineStr">
        <is>
          <t>Mr. A H M Shabetuzzaman</t>
        </is>
      </c>
      <c r="D55" s="11" t="inlineStr">
        <is>
          <t>Sirajgonj GEN-A-1</t>
        </is>
      </c>
      <c r="E55" s="11" t="inlineStr">
        <is>
          <t>Md. Rabiul Alam</t>
        </is>
      </c>
      <c r="F55" s="10" t="n">
        <v>10157</v>
      </c>
      <c r="G55" s="11" t="inlineStr">
        <is>
          <t>Sirajgonj-2</t>
        </is>
      </c>
      <c r="H55" s="10" t="n">
        <v>1563</v>
      </c>
      <c r="I55" s="11" t="inlineStr">
        <is>
          <t>Sree Sanjoy Kumar</t>
        </is>
      </c>
      <c r="J55" s="10">
        <f>IF(K55&gt;0, "Completed", "Pending")</f>
        <v/>
      </c>
      <c r="K55" s="10">
        <f>COUNTIF('Survey Responses'!F:F, F55)</f>
        <v/>
      </c>
    </row>
    <row r="56">
      <c r="A56" s="10" t="n">
        <v>55</v>
      </c>
      <c r="B56" s="11" t="inlineStr">
        <is>
          <t>Bogura (GEN-A)</t>
        </is>
      </c>
      <c r="C56" s="11" t="inlineStr">
        <is>
          <t>Mr. A H M Shabetuzzaman</t>
        </is>
      </c>
      <c r="D56" s="11" t="inlineStr">
        <is>
          <t>Sirajgonj GEN-A-1</t>
        </is>
      </c>
      <c r="E56" s="11" t="inlineStr">
        <is>
          <t>Md. Rabiul Alam</t>
        </is>
      </c>
      <c r="F56" s="10" t="n">
        <v>10154</v>
      </c>
      <c r="G56" s="11" t="inlineStr">
        <is>
          <t>Sirajgonj-3</t>
        </is>
      </c>
      <c r="H56" s="10" t="n">
        <v>8768</v>
      </c>
      <c r="I56" s="11" t="inlineStr">
        <is>
          <t>Mr. Md. Shahalam</t>
        </is>
      </c>
      <c r="J56" s="10">
        <f>IF(K56&gt;0, "Completed", "Pending")</f>
        <v/>
      </c>
      <c r="K56" s="10">
        <f>COUNTIF('Survey Responses'!F:F, F56)</f>
        <v/>
      </c>
    </row>
    <row r="57">
      <c r="A57" s="10" t="n">
        <v>56</v>
      </c>
      <c r="B57" s="11" t="inlineStr">
        <is>
          <t>Bogura (GEN-A)</t>
        </is>
      </c>
      <c r="C57" s="11" t="inlineStr">
        <is>
          <t>Mr. A H M Shabetuzzaman</t>
        </is>
      </c>
      <c r="D57" s="11" t="inlineStr">
        <is>
          <t>Sirajgonj GEN-A-1</t>
        </is>
      </c>
      <c r="E57" s="11" t="inlineStr">
        <is>
          <t>Md. Rabiul Alam</t>
        </is>
      </c>
      <c r="F57" s="10" t="n">
        <v>10155</v>
      </c>
      <c r="G57" s="11" t="inlineStr">
        <is>
          <t>Sirajgonj-4</t>
        </is>
      </c>
      <c r="H57" s="10" t="n">
        <v>5388</v>
      </c>
      <c r="I57" s="11" t="inlineStr">
        <is>
          <t>Md. Rony Ahmed</t>
        </is>
      </c>
      <c r="J57" s="10">
        <f>IF(K57&gt;0, "Completed", "Pending")</f>
        <v/>
      </c>
      <c r="K57" s="10">
        <f>COUNTIF('Survey Responses'!F:F, F57)</f>
        <v/>
      </c>
    </row>
    <row r="58">
      <c r="A58" s="10" t="n">
        <v>57</v>
      </c>
      <c r="B58" s="11" t="inlineStr">
        <is>
          <t>Bogura (GEN-A)</t>
        </is>
      </c>
      <c r="C58" s="11" t="inlineStr">
        <is>
          <t>Mr. A H M Shabetuzzaman</t>
        </is>
      </c>
      <c r="D58" s="11" t="inlineStr">
        <is>
          <t>Sirajgonj GEN-A-1</t>
        </is>
      </c>
      <c r="E58" s="11" t="inlineStr">
        <is>
          <t>Md. Rabiul Alam</t>
        </is>
      </c>
      <c r="F58" s="10" t="n">
        <v>10153</v>
      </c>
      <c r="G58" s="11" t="inlineStr">
        <is>
          <t>Ullapara-1</t>
        </is>
      </c>
      <c r="H58" s="10" t="n">
        <v>1866</v>
      </c>
      <c r="I58" s="11" t="inlineStr">
        <is>
          <t>Md. Milon Ali</t>
        </is>
      </c>
      <c r="J58" s="10">
        <f>IF(K58&gt;0, "Completed", "Pending")</f>
        <v/>
      </c>
      <c r="K58" s="10">
        <f>COUNTIF('Survey Responses'!F:F, F58)</f>
        <v/>
      </c>
    </row>
    <row r="59">
      <c r="A59" s="10" t="n">
        <v>58</v>
      </c>
      <c r="B59" s="11" t="inlineStr">
        <is>
          <t>Bogura (GEN-A)</t>
        </is>
      </c>
      <c r="C59" s="11" t="inlineStr">
        <is>
          <t>Mr. A H M Shabetuzzaman</t>
        </is>
      </c>
      <c r="D59" s="11" t="inlineStr">
        <is>
          <t>Sirajgonj GEN-A-1</t>
        </is>
      </c>
      <c r="E59" s="11" t="inlineStr">
        <is>
          <t>Md. Rabiul Alam</t>
        </is>
      </c>
      <c r="F59" s="10" t="n">
        <v>11809</v>
      </c>
      <c r="G59" s="11" t="inlineStr">
        <is>
          <t>Ullapara-2</t>
        </is>
      </c>
      <c r="H59" s="10" t="n">
        <v>2214</v>
      </c>
      <c r="I59" s="11" t="inlineStr">
        <is>
          <t>Mahabub Alam</t>
        </is>
      </c>
      <c r="J59" s="10">
        <f>IF(K59&gt;0, "Completed", "Pending")</f>
        <v/>
      </c>
      <c r="K59" s="10">
        <f>COUNTIF('Survey Responses'!F:F, F59)</f>
        <v/>
      </c>
    </row>
    <row r="60">
      <c r="A60" s="10" t="n">
        <v>59</v>
      </c>
      <c r="B60" s="11" t="inlineStr">
        <is>
          <t>Dinajpur (GEN-A)</t>
        </is>
      </c>
      <c r="C60" s="11" t="inlineStr">
        <is>
          <t>Mr. Saiful Islam</t>
        </is>
      </c>
      <c r="D60" s="11" t="inlineStr">
        <is>
          <t>Dinajpur GEN-A-1</t>
        </is>
      </c>
      <c r="E60" s="11" t="inlineStr">
        <is>
          <t>Mr. Md. Shiraj Uddawla</t>
        </is>
      </c>
      <c r="F60" s="10" t="n">
        <v>10179</v>
      </c>
      <c r="G60" s="11" t="inlineStr">
        <is>
          <t>Chirirbonder</t>
        </is>
      </c>
      <c r="H60" s="10" t="n">
        <v>1700</v>
      </c>
      <c r="I60" s="11" t="inlineStr">
        <is>
          <t>Md. Atiar Rahman</t>
        </is>
      </c>
      <c r="J60" s="10">
        <f>IF(K60&gt;0, "Completed", "Pending")</f>
        <v/>
      </c>
      <c r="K60" s="10">
        <f>COUNTIF('Survey Responses'!F:F, F60)</f>
        <v/>
      </c>
    </row>
    <row r="61">
      <c r="A61" s="10" t="n">
        <v>60</v>
      </c>
      <c r="B61" s="11" t="inlineStr">
        <is>
          <t>Dinajpur (GEN-A)</t>
        </is>
      </c>
      <c r="C61" s="11" t="inlineStr">
        <is>
          <t>Mr. Saiful Islam</t>
        </is>
      </c>
      <c r="D61" s="11" t="inlineStr">
        <is>
          <t>Dinajpur GEN-A-1</t>
        </is>
      </c>
      <c r="E61" s="11" t="inlineStr">
        <is>
          <t>Mr. Md. Shiraj Uddawla</t>
        </is>
      </c>
      <c r="F61" s="10" t="n">
        <v>10174</v>
      </c>
      <c r="G61" s="11" t="inlineStr">
        <is>
          <t>Dinajpur-1</t>
        </is>
      </c>
      <c r="H61" s="10" t="n">
        <v>8589</v>
      </c>
      <c r="I61" s="11" t="inlineStr">
        <is>
          <t>Mr. Arjun Chandra Barman</t>
        </is>
      </c>
      <c r="J61" s="10">
        <f>IF(K61&gt;0, "Completed", "Pending")</f>
        <v/>
      </c>
      <c r="K61" s="10">
        <f>COUNTIF('Survey Responses'!F:F, F61)</f>
        <v/>
      </c>
    </row>
    <row r="62">
      <c r="A62" s="10" t="n">
        <v>61</v>
      </c>
      <c r="B62" s="11" t="inlineStr">
        <is>
          <t>Dinajpur (GEN-A)</t>
        </is>
      </c>
      <c r="C62" s="11" t="inlineStr">
        <is>
          <t>Mr. Saiful Islam</t>
        </is>
      </c>
      <c r="D62" s="11" t="inlineStr">
        <is>
          <t>Dinajpur GEN-A-1</t>
        </is>
      </c>
      <c r="E62" s="11" t="inlineStr">
        <is>
          <t>Mr. Md. Shiraj Uddawla</t>
        </is>
      </c>
      <c r="F62" s="10" t="n">
        <v>10176</v>
      </c>
      <c r="G62" s="11" t="inlineStr">
        <is>
          <t>Dinajpur-2</t>
        </is>
      </c>
      <c r="H62" s="10" t="n">
        <v>6284</v>
      </c>
      <c r="I62" s="11" t="inlineStr">
        <is>
          <t>Mr. Md. Saifur Rahman</t>
        </is>
      </c>
      <c r="J62" s="10">
        <f>IF(K62&gt;0, "Completed", "Pending")</f>
        <v/>
      </c>
      <c r="K62" s="10">
        <f>COUNTIF('Survey Responses'!F:F, F62)</f>
        <v/>
      </c>
    </row>
    <row r="63">
      <c r="A63" s="10" t="n">
        <v>62</v>
      </c>
      <c r="B63" s="11" t="inlineStr">
        <is>
          <t>Dinajpur (GEN-A)</t>
        </is>
      </c>
      <c r="C63" s="11" t="inlineStr">
        <is>
          <t>Mr. Saiful Islam</t>
        </is>
      </c>
      <c r="D63" s="11" t="inlineStr">
        <is>
          <t>Dinajpur GEN-A-1</t>
        </is>
      </c>
      <c r="E63" s="11" t="inlineStr">
        <is>
          <t>Mr. Md. Shiraj Uddawla</t>
        </is>
      </c>
      <c r="F63" s="10" t="n">
        <v>10177</v>
      </c>
      <c r="G63" s="11" t="inlineStr">
        <is>
          <t>Dinajpur-5</t>
        </is>
      </c>
      <c r="H63" s="10" t="n">
        <v>1649</v>
      </c>
      <c r="I63" s="11" t="inlineStr">
        <is>
          <t>Md. Liton Ali</t>
        </is>
      </c>
      <c r="J63" s="10">
        <f>IF(K63&gt;0, "Completed", "Pending")</f>
        <v/>
      </c>
      <c r="K63" s="10">
        <f>COUNTIF('Survey Responses'!F:F, F63)</f>
        <v/>
      </c>
    </row>
    <row r="64">
      <c r="A64" s="10" t="n">
        <v>63</v>
      </c>
      <c r="B64" s="11" t="inlineStr">
        <is>
          <t>Dinajpur (GEN-A)</t>
        </is>
      </c>
      <c r="C64" s="11" t="inlineStr">
        <is>
          <t>Mr. Saiful Islam</t>
        </is>
      </c>
      <c r="D64" s="11" t="inlineStr">
        <is>
          <t>Dinajpur GEN-A-1</t>
        </is>
      </c>
      <c r="E64" s="11" t="inlineStr">
        <is>
          <t>Mr. Md. Shiraj Uddawla</t>
        </is>
      </c>
      <c r="F64" s="10" t="n">
        <v>10183</v>
      </c>
      <c r="G64" s="11" t="inlineStr">
        <is>
          <t>Dinajpur-6</t>
        </is>
      </c>
      <c r="H64" s="10" t="n">
        <v>6828</v>
      </c>
      <c r="I64" s="11" t="inlineStr">
        <is>
          <t>Mr. Md. Julfiker Ali</t>
        </is>
      </c>
      <c r="J64" s="10">
        <f>IF(K64&gt;0, "Completed", "Pending")</f>
        <v/>
      </c>
      <c r="K64" s="10">
        <f>COUNTIF('Survey Responses'!F:F, F64)</f>
        <v/>
      </c>
    </row>
    <row r="65">
      <c r="A65" s="10" t="n">
        <v>64</v>
      </c>
      <c r="B65" s="11" t="inlineStr">
        <is>
          <t>Dinajpur (GEN-A)</t>
        </is>
      </c>
      <c r="C65" s="11" t="inlineStr">
        <is>
          <t>Mr. Saiful Islam</t>
        </is>
      </c>
      <c r="D65" s="11" t="inlineStr">
        <is>
          <t>Dinajpur GEN-A-1</t>
        </is>
      </c>
      <c r="E65" s="11" t="inlineStr">
        <is>
          <t>Mr. Md. Shiraj Uddawla</t>
        </is>
      </c>
      <c r="F65" s="10" t="n">
        <v>14902</v>
      </c>
      <c r="G65" s="11" t="inlineStr">
        <is>
          <t>Dinajpur-8</t>
        </is>
      </c>
      <c r="H65" s="10" t="n">
        <v>9094</v>
      </c>
      <c r="I65" s="11" t="inlineStr">
        <is>
          <t>Mr. Sohanur Rahman</t>
        </is>
      </c>
      <c r="J65" s="10">
        <f>IF(K65&gt;0, "Completed", "Pending")</f>
        <v/>
      </c>
      <c r="K65" s="10">
        <f>COUNTIF('Survey Responses'!F:F, F65)</f>
        <v/>
      </c>
    </row>
    <row r="66">
      <c r="A66" s="10" t="n">
        <v>65</v>
      </c>
      <c r="B66" s="11" t="inlineStr">
        <is>
          <t>Dinajpur (GEN-A)</t>
        </is>
      </c>
      <c r="C66" s="11" t="inlineStr">
        <is>
          <t>Mr. Saiful Islam</t>
        </is>
      </c>
      <c r="D66" s="11" t="inlineStr">
        <is>
          <t>Dinajpur GEN-A-1</t>
        </is>
      </c>
      <c r="E66" s="11" t="inlineStr">
        <is>
          <t>Mr. Md. Shiraj Uddawla</t>
        </is>
      </c>
      <c r="F66" s="10" t="n">
        <v>13105</v>
      </c>
      <c r="G66" s="11" t="inlineStr">
        <is>
          <t>Kaharole-1</t>
        </is>
      </c>
      <c r="H66" s="10" t="n">
        <v>5686</v>
      </c>
      <c r="I66" s="11" t="inlineStr">
        <is>
          <t>Mr. Milon Reja</t>
        </is>
      </c>
      <c r="J66" s="10">
        <f>IF(K66&gt;0, "Completed", "Pending")</f>
        <v/>
      </c>
      <c r="K66" s="10">
        <f>COUNTIF('Survey Responses'!F:F, F66)</f>
        <v/>
      </c>
    </row>
    <row r="67">
      <c r="A67" s="10" t="n">
        <v>66</v>
      </c>
      <c r="B67" s="11" t="inlineStr">
        <is>
          <t>Dinajpur (GEN-A)</t>
        </is>
      </c>
      <c r="C67" s="11" t="inlineStr">
        <is>
          <t>Mr. Saiful Islam</t>
        </is>
      </c>
      <c r="D67" s="11" t="inlineStr">
        <is>
          <t>Dinajpur GEN-A-1</t>
        </is>
      </c>
      <c r="E67" s="11" t="inlineStr">
        <is>
          <t>Mr. Md. Shiraj Uddawla</t>
        </is>
      </c>
      <c r="F67" s="10" t="n">
        <v>14709</v>
      </c>
      <c r="G67" s="11" t="inlineStr">
        <is>
          <t>Khansama</t>
        </is>
      </c>
      <c r="H67" s="10" t="n">
        <v>1062</v>
      </c>
      <c r="I67" s="11" t="inlineStr">
        <is>
          <t>Md. Farid Hasan Pramanik</t>
        </is>
      </c>
      <c r="J67" s="10">
        <f>IF(K67&gt;0, "Completed", "Pending")</f>
        <v/>
      </c>
      <c r="K67" s="10">
        <f>COUNTIF('Survey Responses'!F:F, F67)</f>
        <v/>
      </c>
    </row>
    <row r="68">
      <c r="A68" s="10" t="n">
        <v>67</v>
      </c>
      <c r="B68" s="11" t="inlineStr">
        <is>
          <t>Dinajpur (GEN-A)</t>
        </is>
      </c>
      <c r="C68" s="11" t="inlineStr">
        <is>
          <t>Mr. Saiful Islam</t>
        </is>
      </c>
      <c r="D68" s="11" t="inlineStr">
        <is>
          <t>Dinajpur GEN-A-2</t>
        </is>
      </c>
      <c r="E68" s="11" t="inlineStr">
        <is>
          <t>Md. Habibur Rahman</t>
        </is>
      </c>
      <c r="F68" s="10" t="n">
        <v>10190</v>
      </c>
      <c r="G68" s="11" t="inlineStr">
        <is>
          <t>Birampur-1</t>
        </is>
      </c>
      <c r="H68" s="10" t="n">
        <v>1275</v>
      </c>
      <c r="I68" s="11" t="inlineStr">
        <is>
          <t>Md. Sohel Rana</t>
        </is>
      </c>
      <c r="J68" s="10">
        <f>IF(K68&gt;0, "Completed", "Pending")</f>
        <v/>
      </c>
      <c r="K68" s="10">
        <f>COUNTIF('Survey Responses'!F:F, F68)</f>
        <v/>
      </c>
    </row>
    <row r="69">
      <c r="A69" s="10" t="n">
        <v>68</v>
      </c>
      <c r="B69" s="11" t="inlineStr">
        <is>
          <t>Dinajpur (GEN-A)</t>
        </is>
      </c>
      <c r="C69" s="11" t="inlineStr">
        <is>
          <t>Mr. Saiful Islam</t>
        </is>
      </c>
      <c r="D69" s="11" t="inlineStr">
        <is>
          <t>Dinajpur GEN-A-2</t>
        </is>
      </c>
      <c r="E69" s="11" t="inlineStr">
        <is>
          <t>Md. Habibur Rahman</t>
        </is>
      </c>
      <c r="F69" s="10" t="n">
        <v>13242</v>
      </c>
      <c r="G69" s="11" t="inlineStr">
        <is>
          <t>Birampur-2</t>
        </is>
      </c>
      <c r="H69" s="10" t="n">
        <v>5875</v>
      </c>
      <c r="I69" s="11" t="inlineStr">
        <is>
          <t>Mr. Md. Nayon Islam</t>
        </is>
      </c>
      <c r="J69" s="10">
        <f>IF(K69&gt;0, "Completed", "Pending")</f>
        <v/>
      </c>
      <c r="K69" s="10">
        <f>COUNTIF('Survey Responses'!F:F, F69)</f>
        <v/>
      </c>
    </row>
    <row r="70">
      <c r="A70" s="10" t="n">
        <v>69</v>
      </c>
      <c r="B70" s="11" t="inlineStr">
        <is>
          <t>Dinajpur (GEN-A)</t>
        </is>
      </c>
      <c r="C70" s="11" t="inlineStr">
        <is>
          <t>Mr. Saiful Islam</t>
        </is>
      </c>
      <c r="D70" s="11" t="inlineStr">
        <is>
          <t>Dinajpur GEN-A-2</t>
        </is>
      </c>
      <c r="E70" s="11" t="inlineStr">
        <is>
          <t>Md. Habibur Rahman</t>
        </is>
      </c>
      <c r="F70" s="10" t="n">
        <v>10181</v>
      </c>
      <c r="G70" s="11" t="inlineStr">
        <is>
          <t>Dinajpur-3</t>
        </is>
      </c>
      <c r="H70" s="10" t="n">
        <v>3430</v>
      </c>
      <c r="I70" s="11" t="inlineStr">
        <is>
          <t>Mr. Amit Kumar Sarkar</t>
        </is>
      </c>
      <c r="J70" s="10">
        <f>IF(K70&gt;0, "Completed", "Pending")</f>
        <v/>
      </c>
      <c r="K70" s="10">
        <f>COUNTIF('Survey Responses'!F:F, F70)</f>
        <v/>
      </c>
    </row>
    <row r="71">
      <c r="A71" s="10" t="n">
        <v>70</v>
      </c>
      <c r="B71" s="11" t="inlineStr">
        <is>
          <t>Dinajpur (GEN-A)</t>
        </is>
      </c>
      <c r="C71" s="11" t="inlineStr">
        <is>
          <t>Mr. Saiful Islam</t>
        </is>
      </c>
      <c r="D71" s="11" t="inlineStr">
        <is>
          <t>Dinajpur GEN-A-2</t>
        </is>
      </c>
      <c r="E71" s="11" t="inlineStr">
        <is>
          <t>Md. Habibur Rahman</t>
        </is>
      </c>
      <c r="F71" s="10" t="n">
        <v>10182</v>
      </c>
      <c r="G71" s="11" t="inlineStr">
        <is>
          <t>Dinajpur-4</t>
        </is>
      </c>
      <c r="H71" s="10" t="n">
        <v>6827</v>
      </c>
      <c r="I71" s="11" t="inlineStr">
        <is>
          <t>Mr. Meherab Hasan</t>
        </is>
      </c>
      <c r="J71" s="10">
        <f>IF(K71&gt;0, "Completed", "Pending")</f>
        <v/>
      </c>
      <c r="K71" s="10">
        <f>COUNTIF('Survey Responses'!F:F, F71)</f>
        <v/>
      </c>
    </row>
    <row r="72">
      <c r="A72" s="10" t="n">
        <v>71</v>
      </c>
      <c r="B72" s="11" t="inlineStr">
        <is>
          <t>Dinajpur (GEN-A)</t>
        </is>
      </c>
      <c r="C72" s="11" t="inlineStr">
        <is>
          <t>Mr. Saiful Islam</t>
        </is>
      </c>
      <c r="D72" s="11" t="inlineStr">
        <is>
          <t>Dinajpur GEN-A-2</t>
        </is>
      </c>
      <c r="E72" s="11" t="inlineStr">
        <is>
          <t>Md. Habibur Rahman</t>
        </is>
      </c>
      <c r="F72" s="10" t="n">
        <v>13294</v>
      </c>
      <c r="G72" s="11" t="inlineStr">
        <is>
          <t>Dinajpur-7</t>
        </is>
      </c>
      <c r="H72" s="10" t="n">
        <v>6395</v>
      </c>
      <c r="I72" s="11" t="inlineStr">
        <is>
          <t>Mr. Md. Abdur Rahim</t>
        </is>
      </c>
      <c r="J72" s="10">
        <f>IF(K72&gt;0, "Completed", "Pending")</f>
        <v/>
      </c>
      <c r="K72" s="10">
        <f>COUNTIF('Survey Responses'!F:F, F72)</f>
        <v/>
      </c>
    </row>
    <row r="73">
      <c r="A73" s="10" t="n">
        <v>72</v>
      </c>
      <c r="B73" s="11" t="inlineStr">
        <is>
          <t>Dinajpur (GEN-A)</t>
        </is>
      </c>
      <c r="C73" s="11" t="inlineStr">
        <is>
          <t>Mr. Saiful Islam</t>
        </is>
      </c>
      <c r="D73" s="11" t="inlineStr">
        <is>
          <t>Dinajpur GEN-A-2</t>
        </is>
      </c>
      <c r="E73" s="11" t="inlineStr">
        <is>
          <t>Md. Habibur Rahman</t>
        </is>
      </c>
      <c r="F73" s="10" t="n">
        <v>10180</v>
      </c>
      <c r="G73" s="11" t="inlineStr">
        <is>
          <t>Phulbari-1</t>
        </is>
      </c>
      <c r="H73" s="10" t="n">
        <v>1107</v>
      </c>
      <c r="I73" s="11" t="inlineStr">
        <is>
          <t>Md. Abul Hasan Mondal</t>
        </is>
      </c>
      <c r="J73" s="10">
        <f>IF(K73&gt;0, "Completed", "Pending")</f>
        <v/>
      </c>
      <c r="K73" s="10">
        <f>COUNTIF('Survey Responses'!F:F, F73)</f>
        <v/>
      </c>
    </row>
    <row r="74">
      <c r="A74" s="10" t="n">
        <v>73</v>
      </c>
      <c r="B74" s="11" t="inlineStr">
        <is>
          <t>Dinajpur (GEN-A)</t>
        </is>
      </c>
      <c r="C74" s="11" t="inlineStr">
        <is>
          <t>Mr. Saiful Islam</t>
        </is>
      </c>
      <c r="D74" s="11" t="inlineStr">
        <is>
          <t>Dinajpur GEN-A-2</t>
        </is>
      </c>
      <c r="E74" s="11" t="inlineStr">
        <is>
          <t>Md. Habibur Rahman</t>
        </is>
      </c>
      <c r="F74" s="10" t="n">
        <v>10184</v>
      </c>
      <c r="G74" s="11" t="inlineStr">
        <is>
          <t>Phulbari-2</t>
        </is>
      </c>
      <c r="H74" s="10" t="n">
        <v>4040</v>
      </c>
      <c r="I74" s="11" t="inlineStr">
        <is>
          <t>Md. Azam Ali</t>
        </is>
      </c>
      <c r="J74" s="10">
        <f>IF(K74&gt;0, "Completed", "Pending")</f>
        <v/>
      </c>
      <c r="K74" s="10">
        <f>COUNTIF('Survey Responses'!F:F, F74)</f>
        <v/>
      </c>
    </row>
    <row r="75">
      <c r="A75" s="10" t="n">
        <v>74</v>
      </c>
      <c r="B75" s="11" t="inlineStr">
        <is>
          <t>Dinajpur (GEN-A)</t>
        </is>
      </c>
      <c r="C75" s="11" t="inlineStr">
        <is>
          <t>Mr. Saiful Islam</t>
        </is>
      </c>
      <c r="D75" s="11" t="inlineStr">
        <is>
          <t>Gobindagonj GEN-A-1</t>
        </is>
      </c>
      <c r="E75" s="11" t="inlineStr">
        <is>
          <t>Mr. Md. Jahurul Haque</t>
        </is>
      </c>
      <c r="F75" s="10" t="n">
        <v>10241</v>
      </c>
      <c r="G75" s="11" t="inlineStr">
        <is>
          <t>Bonarpara</t>
        </is>
      </c>
      <c r="H75" s="10" t="n">
        <v>1248</v>
      </c>
      <c r="I75" s="11" t="inlineStr">
        <is>
          <t>Md. Alamin</t>
        </is>
      </c>
      <c r="J75" s="10">
        <f>IF(K75&gt;0, "Completed", "Pending")</f>
        <v/>
      </c>
      <c r="K75" s="10">
        <f>COUNTIF('Survey Responses'!F:F, F75)</f>
        <v/>
      </c>
    </row>
    <row r="76">
      <c r="A76" s="10" t="n">
        <v>75</v>
      </c>
      <c r="B76" s="11" t="inlineStr">
        <is>
          <t>Dinajpur (GEN-A)</t>
        </is>
      </c>
      <c r="C76" s="11" t="inlineStr">
        <is>
          <t>Mr. Saiful Islam</t>
        </is>
      </c>
      <c r="D76" s="11" t="inlineStr">
        <is>
          <t>Gobindagonj GEN-A-1</t>
        </is>
      </c>
      <c r="E76" s="11" t="inlineStr">
        <is>
          <t>Mr. Md. Jahurul Haque</t>
        </is>
      </c>
      <c r="F76" s="10" t="n">
        <v>12548</v>
      </c>
      <c r="G76" s="11" t="inlineStr">
        <is>
          <t>Ghoraghat-1</t>
        </is>
      </c>
      <c r="H76" s="10" t="n">
        <v>3296</v>
      </c>
      <c r="I76" s="11" t="inlineStr">
        <is>
          <t>Mohammad Manjurul Alom Patwari</t>
        </is>
      </c>
      <c r="J76" s="10">
        <f>IF(K76&gt;0, "Completed", "Pending")</f>
        <v/>
      </c>
      <c r="K76" s="10">
        <f>COUNTIF('Survey Responses'!F:F, F76)</f>
        <v/>
      </c>
    </row>
    <row r="77">
      <c r="A77" s="10" t="n">
        <v>76</v>
      </c>
      <c r="B77" s="11" t="inlineStr">
        <is>
          <t>Dinajpur (GEN-A)</t>
        </is>
      </c>
      <c r="C77" s="11" t="inlineStr">
        <is>
          <t>Mr. Saiful Islam</t>
        </is>
      </c>
      <c r="D77" s="11" t="inlineStr">
        <is>
          <t>Gobindagonj GEN-A-1</t>
        </is>
      </c>
      <c r="E77" s="11" t="inlineStr">
        <is>
          <t>Mr. Md. Jahurul Haque</t>
        </is>
      </c>
      <c r="F77" s="10" t="n">
        <v>10146</v>
      </c>
      <c r="G77" s="11" t="inlineStr">
        <is>
          <t xml:space="preserve">Gobindagonj-1 </t>
        </is>
      </c>
      <c r="H77" s="10" t="n">
        <v>8408</v>
      </c>
      <c r="I77" s="11" t="inlineStr">
        <is>
          <t>Mr. Md. Alam Mia</t>
        </is>
      </c>
      <c r="J77" s="10">
        <f>IF(K77&gt;0, "Completed", "Pending")</f>
        <v/>
      </c>
      <c r="K77" s="10">
        <f>COUNTIF('Survey Responses'!F:F, F77)</f>
        <v/>
      </c>
    </row>
    <row r="78">
      <c r="A78" s="10" t="n">
        <v>77</v>
      </c>
      <c r="B78" s="11" t="inlineStr">
        <is>
          <t>Dinajpur (GEN-A)</t>
        </is>
      </c>
      <c r="C78" s="11" t="inlineStr">
        <is>
          <t>Mr. Saiful Islam</t>
        </is>
      </c>
      <c r="D78" s="11" t="inlineStr">
        <is>
          <t>Gobindagonj GEN-A-1</t>
        </is>
      </c>
      <c r="E78" s="11" t="inlineStr">
        <is>
          <t>Mr. Md. Jahurul Haque</t>
        </is>
      </c>
      <c r="F78" s="10" t="n">
        <v>10147</v>
      </c>
      <c r="G78" s="11" t="inlineStr">
        <is>
          <t>Gobindagonj-2</t>
        </is>
      </c>
      <c r="H78" s="10" t="n">
        <v>1132</v>
      </c>
      <c r="I78" s="11" t="inlineStr">
        <is>
          <t>Md. Nurul Amin</t>
        </is>
      </c>
      <c r="J78" s="10">
        <f>IF(K78&gt;0, "Completed", "Pending")</f>
        <v/>
      </c>
      <c r="K78" s="10">
        <f>COUNTIF('Survey Responses'!F:F, F78)</f>
        <v/>
      </c>
    </row>
    <row r="79">
      <c r="A79" s="10" t="n">
        <v>78</v>
      </c>
      <c r="B79" s="11" t="inlineStr">
        <is>
          <t>Dinajpur (GEN-A)</t>
        </is>
      </c>
      <c r="C79" s="11" t="inlineStr">
        <is>
          <t>Mr. Saiful Islam</t>
        </is>
      </c>
      <c r="D79" s="11" t="inlineStr">
        <is>
          <t>Gobindagonj GEN-A-1</t>
        </is>
      </c>
      <c r="E79" s="11" t="inlineStr">
        <is>
          <t>Mr. Md. Jahurul Haque</t>
        </is>
      </c>
      <c r="F79" s="10" t="n">
        <v>13331</v>
      </c>
      <c r="G79" s="11" t="inlineStr">
        <is>
          <t>Gobindagonj-3</t>
        </is>
      </c>
      <c r="H79" s="10" t="n">
        <v>8648</v>
      </c>
      <c r="I79" s="11" t="inlineStr">
        <is>
          <t>Mr. Md. Rabiul Islam</t>
        </is>
      </c>
      <c r="J79" s="10">
        <f>IF(K79&gt;0, "Completed", "Pending")</f>
        <v/>
      </c>
      <c r="K79" s="10">
        <f>COUNTIF('Survey Responses'!F:F, F79)</f>
        <v/>
      </c>
    </row>
    <row r="80">
      <c r="A80" s="10" t="n">
        <v>79</v>
      </c>
      <c r="B80" s="11" t="inlineStr">
        <is>
          <t>Dinajpur (GEN-A)</t>
        </is>
      </c>
      <c r="C80" s="11" t="inlineStr">
        <is>
          <t>Mr. Saiful Islam</t>
        </is>
      </c>
      <c r="D80" s="11" t="inlineStr">
        <is>
          <t>Gobindagonj GEN-A-1</t>
        </is>
      </c>
      <c r="E80" s="11" t="inlineStr">
        <is>
          <t>Mr. Md. Jahurul Haque</t>
        </is>
      </c>
      <c r="F80" s="10" t="n">
        <v>10239</v>
      </c>
      <c r="G80" s="11" t="inlineStr">
        <is>
          <t>Polashbari-1</t>
        </is>
      </c>
      <c r="H80" s="10" t="n">
        <v>1343</v>
      </c>
      <c r="I80" s="11" t="inlineStr">
        <is>
          <t>Md. Abdur Rahim</t>
        </is>
      </c>
      <c r="J80" s="10">
        <f>IF(K80&gt;0, "Completed", "Pending")</f>
        <v/>
      </c>
      <c r="K80" s="10">
        <f>COUNTIF('Survey Responses'!F:F, F80)</f>
        <v/>
      </c>
    </row>
    <row r="81">
      <c r="A81" s="10" t="n">
        <v>80</v>
      </c>
      <c r="B81" s="11" t="inlineStr">
        <is>
          <t>Dinajpur (GEN-A)</t>
        </is>
      </c>
      <c r="C81" s="11" t="inlineStr">
        <is>
          <t>Mr. Saiful Islam</t>
        </is>
      </c>
      <c r="D81" s="11" t="inlineStr">
        <is>
          <t>Gobindagonj GEN-A-1</t>
        </is>
      </c>
      <c r="E81" s="11" t="inlineStr">
        <is>
          <t>Mr. Md. Jahurul Haque</t>
        </is>
      </c>
      <c r="F81" s="10" t="n">
        <v>10240</v>
      </c>
      <c r="G81" s="11" t="inlineStr">
        <is>
          <t>Polashbari-2</t>
        </is>
      </c>
      <c r="H81" s="10" t="n">
        <v>8790</v>
      </c>
      <c r="I81" s="11" t="inlineStr">
        <is>
          <t>Mr. Sha Md. Abdullah</t>
        </is>
      </c>
      <c r="J81" s="10">
        <f>IF(K81&gt;0, "Completed", "Pending")</f>
        <v/>
      </c>
      <c r="K81" s="10">
        <f>COUNTIF('Survey Responses'!F:F, F81)</f>
        <v/>
      </c>
    </row>
    <row r="82">
      <c r="A82" s="10" t="n">
        <v>81</v>
      </c>
      <c r="B82" s="11" t="inlineStr">
        <is>
          <t>Dinajpur (GEN-A)</t>
        </is>
      </c>
      <c r="C82" s="11" t="inlineStr">
        <is>
          <t>Mr. Saiful Islam</t>
        </is>
      </c>
      <c r="D82" s="11" t="inlineStr">
        <is>
          <t>Joypurhat GEN-A</t>
        </is>
      </c>
      <c r="E82" s="11" t="inlineStr">
        <is>
          <t>Mr. Md. Asadujjaman</t>
        </is>
      </c>
      <c r="F82" s="10" t="n">
        <v>13306</v>
      </c>
      <c r="G82" s="11" t="inlineStr">
        <is>
          <t>Hili-1</t>
        </is>
      </c>
      <c r="H82" s="10" t="n">
        <v>5930</v>
      </c>
      <c r="I82" s="11" t="inlineStr">
        <is>
          <t>Mr. Md. Jakiul Islam</t>
        </is>
      </c>
      <c r="J82" s="10">
        <f>IF(K82&gt;0, "Completed", "Pending")</f>
        <v/>
      </c>
      <c r="K82" s="10">
        <f>COUNTIF('Survey Responses'!F:F, F82)</f>
        <v/>
      </c>
    </row>
    <row r="83">
      <c r="A83" s="10" t="n">
        <v>82</v>
      </c>
      <c r="B83" s="11" t="inlineStr">
        <is>
          <t>Dinajpur (GEN-A)</t>
        </is>
      </c>
      <c r="C83" s="11" t="inlineStr">
        <is>
          <t>Mr. Saiful Islam</t>
        </is>
      </c>
      <c r="D83" s="11" t="inlineStr">
        <is>
          <t>Joypurhat GEN-A</t>
        </is>
      </c>
      <c r="E83" s="11" t="inlineStr">
        <is>
          <t>Mr. Md. Asadujjaman</t>
        </is>
      </c>
      <c r="F83" s="10" t="n">
        <v>10187</v>
      </c>
      <c r="G83" s="11" t="inlineStr">
        <is>
          <t>Joypurhat-1</t>
        </is>
      </c>
      <c r="H83" s="10" t="n">
        <v>8750</v>
      </c>
      <c r="I83" s="11" t="inlineStr">
        <is>
          <t>Mr. Md. Suzon Saif</t>
        </is>
      </c>
      <c r="J83" s="10">
        <f>IF(K83&gt;0, "Completed", "Pending")</f>
        <v/>
      </c>
      <c r="K83" s="10">
        <f>COUNTIF('Survey Responses'!F:F, F83)</f>
        <v/>
      </c>
    </row>
    <row r="84">
      <c r="A84" s="10" t="n">
        <v>83</v>
      </c>
      <c r="B84" s="11" t="inlineStr">
        <is>
          <t>Dinajpur (GEN-A)</t>
        </is>
      </c>
      <c r="C84" s="11" t="inlineStr">
        <is>
          <t>Mr. Saiful Islam</t>
        </is>
      </c>
      <c r="D84" s="11" t="inlineStr">
        <is>
          <t>Joypurhat GEN-A</t>
        </is>
      </c>
      <c r="E84" s="11" t="inlineStr">
        <is>
          <t>Mr. Md. Asadujjaman</t>
        </is>
      </c>
      <c r="F84" s="10" t="n">
        <v>10188</v>
      </c>
      <c r="G84" s="11" t="inlineStr">
        <is>
          <t>Joypurhat-2</t>
        </is>
      </c>
      <c r="H84" s="10" t="n">
        <v>5986</v>
      </c>
      <c r="I84" s="11" t="inlineStr">
        <is>
          <t>Mr. Md. Rakib Miah</t>
        </is>
      </c>
      <c r="J84" s="10">
        <f>IF(K84&gt;0, "Completed", "Pending")</f>
        <v/>
      </c>
      <c r="K84" s="10">
        <f>COUNTIF('Survey Responses'!F:F, F84)</f>
        <v/>
      </c>
    </row>
    <row r="85">
      <c r="A85" s="10" t="n">
        <v>84</v>
      </c>
      <c r="B85" s="11" t="inlineStr">
        <is>
          <t>Dinajpur (GEN-A)</t>
        </is>
      </c>
      <c r="C85" s="11" t="inlineStr">
        <is>
          <t>Mr. Saiful Islam</t>
        </is>
      </c>
      <c r="D85" s="11" t="inlineStr">
        <is>
          <t>Joypurhat GEN-A</t>
        </is>
      </c>
      <c r="E85" s="11" t="inlineStr">
        <is>
          <t>Mr. Md. Asadujjaman</t>
        </is>
      </c>
      <c r="F85" s="10" t="n">
        <v>10189</v>
      </c>
      <c r="G85" s="11" t="inlineStr">
        <is>
          <t>Joypurhat-3</t>
        </is>
      </c>
      <c r="H85" s="10" t="n">
        <v>5622</v>
      </c>
      <c r="I85" s="11" t="inlineStr">
        <is>
          <t>Mr. Md. Ayub Ali</t>
        </is>
      </c>
      <c r="J85" s="10">
        <f>IF(K85&gt;0, "Completed", "Pending")</f>
        <v/>
      </c>
      <c r="K85" s="10">
        <f>COUNTIF('Survey Responses'!F:F, F85)</f>
        <v/>
      </c>
    </row>
    <row r="86">
      <c r="A86" s="10" t="n">
        <v>85</v>
      </c>
      <c r="B86" s="11" t="inlineStr">
        <is>
          <t>Dinajpur (GEN-A)</t>
        </is>
      </c>
      <c r="C86" s="11" t="inlineStr">
        <is>
          <t>Mr. Saiful Islam</t>
        </is>
      </c>
      <c r="D86" s="11" t="inlineStr">
        <is>
          <t>Joypurhat GEN-A</t>
        </is>
      </c>
      <c r="E86" s="11" t="inlineStr">
        <is>
          <t>Mr. Md. Asadujjaman</t>
        </is>
      </c>
      <c r="F86" s="10" t="n">
        <v>12907</v>
      </c>
      <c r="G86" s="11" t="inlineStr">
        <is>
          <t>Joypurhat-4</t>
        </is>
      </c>
      <c r="H86" s="10" t="n">
        <v>6900</v>
      </c>
      <c r="I86" s="11" t="inlineStr">
        <is>
          <t>Mr. Muha. Miraz Jowarder</t>
        </is>
      </c>
      <c r="J86" s="10">
        <f>IF(K86&gt;0, "Completed", "Pending")</f>
        <v/>
      </c>
      <c r="K86" s="10">
        <f>COUNTIF('Survey Responses'!F:F, F86)</f>
        <v/>
      </c>
    </row>
    <row r="87">
      <c r="A87" s="10" t="n">
        <v>86</v>
      </c>
      <c r="B87" s="11" t="inlineStr">
        <is>
          <t>Dinajpur (GEN-A)</t>
        </is>
      </c>
      <c r="C87" s="11" t="inlineStr">
        <is>
          <t>Mr. Saiful Islam</t>
        </is>
      </c>
      <c r="D87" s="11" t="inlineStr">
        <is>
          <t>Joypurhat GEN-A</t>
        </is>
      </c>
      <c r="E87" s="11" t="inlineStr">
        <is>
          <t>Mr. Md. Asadujjaman</t>
        </is>
      </c>
      <c r="F87" s="10" t="n">
        <v>10192</v>
      </c>
      <c r="G87" s="11" t="inlineStr">
        <is>
          <t>Pachbibi-1</t>
        </is>
      </c>
      <c r="H87" s="10" t="n">
        <v>2283</v>
      </c>
      <c r="I87" s="11" t="inlineStr">
        <is>
          <t>Md. Shajhan Kabir</t>
        </is>
      </c>
      <c r="J87" s="10">
        <f>IF(K87&gt;0, "Completed", "Pending")</f>
        <v/>
      </c>
      <c r="K87" s="10">
        <f>COUNTIF('Survey Responses'!F:F, F87)</f>
        <v/>
      </c>
    </row>
    <row r="88">
      <c r="A88" s="10" t="n">
        <v>87</v>
      </c>
      <c r="B88" s="11" t="inlineStr">
        <is>
          <t>Dinajpur (GEN-A)</t>
        </is>
      </c>
      <c r="C88" s="11" t="inlineStr">
        <is>
          <t>Mr. Saiful Islam</t>
        </is>
      </c>
      <c r="D88" s="11" t="inlineStr">
        <is>
          <t>Joypurhat GEN-A</t>
        </is>
      </c>
      <c r="E88" s="11" t="inlineStr">
        <is>
          <t>Mr. Md. Asadujjaman</t>
        </is>
      </c>
      <c r="F88" s="10" t="n">
        <v>14507</v>
      </c>
      <c r="G88" s="11" t="inlineStr">
        <is>
          <t>Pachbibi-2</t>
        </is>
      </c>
      <c r="H88" s="10" t="n">
        <v>8404</v>
      </c>
      <c r="I88" s="11" t="inlineStr">
        <is>
          <t>Mr. Md. Naimul Rahman</t>
        </is>
      </c>
      <c r="J88" s="10">
        <f>IF(K88&gt;0, "Completed", "Pending")</f>
        <v/>
      </c>
      <c r="K88" s="10">
        <f>COUNTIF('Survey Responses'!F:F, F88)</f>
        <v/>
      </c>
    </row>
    <row r="89">
      <c r="A89" s="10" t="n">
        <v>88</v>
      </c>
      <c r="B89" s="11" t="inlineStr">
        <is>
          <t>Dinajpur (GEN-A)</t>
        </is>
      </c>
      <c r="C89" s="11" t="inlineStr">
        <is>
          <t>Mr. Saiful Islam</t>
        </is>
      </c>
      <c r="D89" s="11" t="inlineStr">
        <is>
          <t>Nilphamary GEN-A-1</t>
        </is>
      </c>
      <c r="E89" s="11" t="inlineStr">
        <is>
          <t>Md. Latiful Alam</t>
        </is>
      </c>
      <c r="F89" s="10" t="n">
        <v>12208</v>
      </c>
      <c r="G89" s="11" t="inlineStr">
        <is>
          <t>Dimla-1</t>
        </is>
      </c>
      <c r="H89" s="10" t="n">
        <v>3621</v>
      </c>
      <c r="I89" s="11" t="inlineStr">
        <is>
          <t>Mr. Ashraful Islam</t>
        </is>
      </c>
      <c r="J89" s="10">
        <f>IF(K89&gt;0, "Completed", "Pending")</f>
        <v/>
      </c>
      <c r="K89" s="10">
        <f>COUNTIF('Survey Responses'!F:F, F89)</f>
        <v/>
      </c>
    </row>
    <row r="90">
      <c r="A90" s="10" t="n">
        <v>89</v>
      </c>
      <c r="B90" s="11" t="inlineStr">
        <is>
          <t>Dinajpur (GEN-A)</t>
        </is>
      </c>
      <c r="C90" s="11" t="inlineStr">
        <is>
          <t>Mr. Saiful Islam</t>
        </is>
      </c>
      <c r="D90" s="11" t="inlineStr">
        <is>
          <t>Nilphamary GEN-A-1</t>
        </is>
      </c>
      <c r="E90" s="11" t="inlineStr">
        <is>
          <t>Md. Latiful Alam</t>
        </is>
      </c>
      <c r="F90" s="10" t="n">
        <v>14706</v>
      </c>
      <c r="G90" s="11" t="inlineStr">
        <is>
          <t>Dimla-2</t>
        </is>
      </c>
      <c r="H90" s="10" t="n">
        <v>666</v>
      </c>
      <c r="I90" s="11" t="inlineStr">
        <is>
          <t>Akand Md. Fakrul Hasan</t>
        </is>
      </c>
      <c r="J90" s="10">
        <f>IF(K90&gt;0, "Completed", "Pending")</f>
        <v/>
      </c>
      <c r="K90" s="10">
        <f>COUNTIF('Survey Responses'!F:F, F90)</f>
        <v/>
      </c>
    </row>
    <row r="91">
      <c r="A91" s="10" t="n">
        <v>90</v>
      </c>
      <c r="B91" s="11" t="inlineStr">
        <is>
          <t>Dinajpur (GEN-A)</t>
        </is>
      </c>
      <c r="C91" s="11" t="inlineStr">
        <is>
          <t>Mr. Saiful Islam</t>
        </is>
      </c>
      <c r="D91" s="11" t="inlineStr">
        <is>
          <t>Nilphamary GEN-A-1</t>
        </is>
      </c>
      <c r="E91" s="11" t="inlineStr">
        <is>
          <t>Md. Latiful Alam</t>
        </is>
      </c>
      <c r="F91" s="10" t="n">
        <v>10172</v>
      </c>
      <c r="G91" s="11" t="inlineStr">
        <is>
          <t>Jaldhaka-1</t>
        </is>
      </c>
      <c r="H91" s="10" t="n">
        <v>6719</v>
      </c>
      <c r="I91" s="11" t="inlineStr">
        <is>
          <t>Mr. Md. Senarul Islam</t>
        </is>
      </c>
      <c r="J91" s="10">
        <f>IF(K91&gt;0, "Completed", "Pending")</f>
        <v/>
      </c>
      <c r="K91" s="10">
        <f>COUNTIF('Survey Responses'!F:F, F91)</f>
        <v/>
      </c>
    </row>
    <row r="92">
      <c r="A92" s="10" t="n">
        <v>91</v>
      </c>
      <c r="B92" s="11" t="inlineStr">
        <is>
          <t>Dinajpur (GEN-A)</t>
        </is>
      </c>
      <c r="C92" s="11" t="inlineStr">
        <is>
          <t>Mr. Saiful Islam</t>
        </is>
      </c>
      <c r="D92" s="11" t="inlineStr">
        <is>
          <t>Nilphamary GEN-A-1</t>
        </is>
      </c>
      <c r="E92" s="11" t="inlineStr">
        <is>
          <t>Md. Latiful Alam</t>
        </is>
      </c>
      <c r="F92" s="10" t="n">
        <v>12844</v>
      </c>
      <c r="G92" s="11" t="inlineStr">
        <is>
          <t>Jaldhaka-2</t>
        </is>
      </c>
      <c r="H92" s="10" t="n">
        <v>3149</v>
      </c>
      <c r="I92" s="11" t="inlineStr">
        <is>
          <t>Mr. Md. Safiqul Islam</t>
        </is>
      </c>
      <c r="J92" s="10">
        <f>IF(K92&gt;0, "Completed", "Pending")</f>
        <v/>
      </c>
      <c r="K92" s="10">
        <f>COUNTIF('Survey Responses'!F:F, F92)</f>
        <v/>
      </c>
    </row>
    <row r="93">
      <c r="A93" s="10" t="n">
        <v>92</v>
      </c>
      <c r="B93" s="11" t="inlineStr">
        <is>
          <t>Dinajpur (GEN-A)</t>
        </is>
      </c>
      <c r="C93" s="11" t="inlineStr">
        <is>
          <t>Mr. Saiful Islam</t>
        </is>
      </c>
      <c r="D93" s="11" t="inlineStr">
        <is>
          <t>Nilphamary GEN-A-1</t>
        </is>
      </c>
      <c r="E93" s="11" t="inlineStr">
        <is>
          <t>Md. Latiful Alam</t>
        </is>
      </c>
      <c r="F93" s="10" t="n">
        <v>14569</v>
      </c>
      <c r="G93" s="11" t="inlineStr">
        <is>
          <t>Kishoreganj (Nilphamari)</t>
        </is>
      </c>
      <c r="H93" s="10" t="n">
        <v>7654</v>
      </c>
      <c r="I93" s="11" t="inlineStr">
        <is>
          <t>Mr. Osman Goni</t>
        </is>
      </c>
      <c r="J93" s="10">
        <f>IF(K93&gt;0, "Completed", "Pending")</f>
        <v/>
      </c>
      <c r="K93" s="10">
        <f>COUNTIF('Survey Responses'!F:F, F93)</f>
        <v/>
      </c>
    </row>
    <row r="94">
      <c r="A94" s="10" t="n">
        <v>93</v>
      </c>
      <c r="B94" s="11" t="inlineStr">
        <is>
          <t>Dinajpur (GEN-A)</t>
        </is>
      </c>
      <c r="C94" s="11" t="inlineStr">
        <is>
          <t>Mr. Saiful Islam</t>
        </is>
      </c>
      <c r="D94" s="11" t="inlineStr">
        <is>
          <t>Nilphamary GEN-A-1</t>
        </is>
      </c>
      <c r="E94" s="11" t="inlineStr">
        <is>
          <t>Md. Latiful Alam</t>
        </is>
      </c>
      <c r="F94" s="10" t="n">
        <v>10166</v>
      </c>
      <c r="G94" s="11" t="inlineStr">
        <is>
          <t>Nilphamary-1</t>
        </is>
      </c>
      <c r="H94" s="10" t="n">
        <v>3520</v>
      </c>
      <c r="I94" s="11" t="inlineStr">
        <is>
          <t>Mr. Md. Mominul Islam</t>
        </is>
      </c>
      <c r="J94" s="10">
        <f>IF(K94&gt;0, "Completed", "Pending")</f>
        <v/>
      </c>
      <c r="K94" s="10">
        <f>COUNTIF('Survey Responses'!F:F, F94)</f>
        <v/>
      </c>
    </row>
    <row r="95">
      <c r="A95" s="10" t="n">
        <v>94</v>
      </c>
      <c r="B95" s="11" t="inlineStr">
        <is>
          <t>Dinajpur (GEN-A)</t>
        </is>
      </c>
      <c r="C95" s="11" t="inlineStr">
        <is>
          <t>Mr. Saiful Islam</t>
        </is>
      </c>
      <c r="D95" s="11" t="inlineStr">
        <is>
          <t>Nilphamary GEN-A-1</t>
        </is>
      </c>
      <c r="E95" s="11" t="inlineStr">
        <is>
          <t>Md. Latiful Alam</t>
        </is>
      </c>
      <c r="F95" s="10" t="n">
        <v>10167</v>
      </c>
      <c r="G95" s="11" t="inlineStr">
        <is>
          <t>Nilphamary-2</t>
        </is>
      </c>
      <c r="H95" s="10" t="n">
        <v>1086</v>
      </c>
      <c r="I95" s="11" t="inlineStr">
        <is>
          <t>Md. Saiful Islam</t>
        </is>
      </c>
      <c r="J95" s="10">
        <f>IF(K95&gt;0, "Completed", "Pending")</f>
        <v/>
      </c>
      <c r="K95" s="10">
        <f>COUNTIF('Survey Responses'!F:F, F95)</f>
        <v/>
      </c>
    </row>
    <row r="96">
      <c r="A96" s="10" t="n">
        <v>95</v>
      </c>
      <c r="B96" s="11" t="inlineStr">
        <is>
          <t>Dinajpur (GEN-A)</t>
        </is>
      </c>
      <c r="C96" s="11" t="inlineStr">
        <is>
          <t>Mr. Saiful Islam</t>
        </is>
      </c>
      <c r="D96" s="11" t="inlineStr">
        <is>
          <t>Nilphamary GEN-A-1</t>
        </is>
      </c>
      <c r="E96" s="11" t="inlineStr">
        <is>
          <t>Md. Latiful Alam</t>
        </is>
      </c>
      <c r="F96" s="10" t="n">
        <v>10168</v>
      </c>
      <c r="G96" s="11" t="inlineStr">
        <is>
          <t>Nilphamary-3</t>
        </is>
      </c>
      <c r="H96" s="10" t="n">
        <v>3608</v>
      </c>
      <c r="I96" s="11" t="inlineStr">
        <is>
          <t>Mr. Mehedi Hasan</t>
        </is>
      </c>
      <c r="J96" s="10">
        <f>IF(K96&gt;0, "Completed", "Pending")</f>
        <v/>
      </c>
      <c r="K96" s="10">
        <f>COUNTIF('Survey Responses'!F:F, F96)</f>
        <v/>
      </c>
    </row>
    <row r="97">
      <c r="A97" s="10" t="n">
        <v>96</v>
      </c>
      <c r="B97" s="11" t="inlineStr">
        <is>
          <t>Dinajpur (GEN-A)</t>
        </is>
      </c>
      <c r="C97" s="11" t="inlineStr">
        <is>
          <t>Mr. Saiful Islam</t>
        </is>
      </c>
      <c r="D97" s="11" t="inlineStr">
        <is>
          <t>Panchagarh GEN-A-1</t>
        </is>
      </c>
      <c r="E97" s="11" t="inlineStr">
        <is>
          <t>Md. Nayeb Ali</t>
        </is>
      </c>
      <c r="F97" s="10" t="n">
        <v>10194</v>
      </c>
      <c r="G97" s="11" t="inlineStr">
        <is>
          <t>Boda-1</t>
        </is>
      </c>
      <c r="H97" s="10" t="n">
        <v>1882</v>
      </c>
      <c r="I97" s="11" t="inlineStr">
        <is>
          <t>Md. Rafikul Islam</t>
        </is>
      </c>
      <c r="J97" s="10">
        <f>IF(K97&gt;0, "Completed", "Pending")</f>
        <v/>
      </c>
      <c r="K97" s="10">
        <f>COUNTIF('Survey Responses'!F:F, F97)</f>
        <v/>
      </c>
    </row>
    <row r="98">
      <c r="A98" s="10" t="n">
        <v>97</v>
      </c>
      <c r="B98" s="11" t="inlineStr">
        <is>
          <t>Dinajpur (GEN-A)</t>
        </is>
      </c>
      <c r="C98" s="11" t="inlineStr">
        <is>
          <t>Mr. Saiful Islam</t>
        </is>
      </c>
      <c r="D98" s="11" t="inlineStr">
        <is>
          <t>Panchagarh GEN-A-1</t>
        </is>
      </c>
      <c r="E98" s="11" t="inlineStr">
        <is>
          <t>Md. Nayeb Ali</t>
        </is>
      </c>
      <c r="F98" s="10" t="n">
        <v>10195</v>
      </c>
      <c r="G98" s="11" t="inlineStr">
        <is>
          <t>Boda-2</t>
        </is>
      </c>
      <c r="H98" s="10" t="n">
        <v>7232</v>
      </c>
      <c r="I98" s="11" t="inlineStr">
        <is>
          <t>Mr. Md. Moynul Islam</t>
        </is>
      </c>
      <c r="J98" s="10">
        <f>IF(K98&gt;0, "Completed", "Pending")</f>
        <v/>
      </c>
      <c r="K98" s="10">
        <f>COUNTIF('Survey Responses'!F:F, F98)</f>
        <v/>
      </c>
    </row>
    <row r="99">
      <c r="A99" s="10" t="n">
        <v>98</v>
      </c>
      <c r="B99" s="11" t="inlineStr">
        <is>
          <t>Dinajpur (GEN-A)</t>
        </is>
      </c>
      <c r="C99" s="11" t="inlineStr">
        <is>
          <t>Mr. Saiful Islam</t>
        </is>
      </c>
      <c r="D99" s="11" t="inlineStr">
        <is>
          <t>Panchagarh GEN-A-1</t>
        </is>
      </c>
      <c r="E99" s="11" t="inlineStr">
        <is>
          <t>Md. Nayeb Ali</t>
        </is>
      </c>
      <c r="F99" s="10" t="n">
        <v>13195</v>
      </c>
      <c r="G99" s="11" t="inlineStr">
        <is>
          <t>Debigonj-1</t>
        </is>
      </c>
      <c r="H99" s="10" t="n">
        <v>6829</v>
      </c>
      <c r="I99" s="11" t="inlineStr">
        <is>
          <t>Mr. Santosh Pramanik</t>
        </is>
      </c>
      <c r="J99" s="10">
        <f>IF(K99&gt;0, "Completed", "Pending")</f>
        <v/>
      </c>
      <c r="K99" s="10">
        <f>COUNTIF('Survey Responses'!F:F, F99)</f>
        <v/>
      </c>
    </row>
    <row r="100">
      <c r="A100" s="10" t="n">
        <v>99</v>
      </c>
      <c r="B100" s="11" t="inlineStr">
        <is>
          <t>Dinajpur (GEN-A)</t>
        </is>
      </c>
      <c r="C100" s="11" t="inlineStr">
        <is>
          <t>Mr. Saiful Islam</t>
        </is>
      </c>
      <c r="D100" s="11" t="inlineStr">
        <is>
          <t>Panchagarh GEN-A-1</t>
        </is>
      </c>
      <c r="E100" s="11" t="inlineStr">
        <is>
          <t>Md. Nayeb Ali</t>
        </is>
      </c>
      <c r="F100" s="10" t="n">
        <v>10169</v>
      </c>
      <c r="G100" s="11" t="inlineStr">
        <is>
          <t>Domar-1</t>
        </is>
      </c>
      <c r="H100" s="10" t="n">
        <v>1928</v>
      </c>
      <c r="I100" s="11" t="inlineStr">
        <is>
          <t>Md. Asraful Haque</t>
        </is>
      </c>
      <c r="J100" s="10">
        <f>IF(K100&gt;0, "Completed", "Pending")</f>
        <v/>
      </c>
      <c r="K100" s="10">
        <f>COUNTIF('Survey Responses'!F:F, F100)</f>
        <v/>
      </c>
    </row>
    <row r="101">
      <c r="A101" s="10" t="n">
        <v>100</v>
      </c>
      <c r="B101" s="11" t="inlineStr">
        <is>
          <t>Dinajpur (GEN-A)</t>
        </is>
      </c>
      <c r="C101" s="11" t="inlineStr">
        <is>
          <t>Mr. Saiful Islam</t>
        </is>
      </c>
      <c r="D101" s="11" t="inlineStr">
        <is>
          <t>Panchagarh GEN-A-1</t>
        </is>
      </c>
      <c r="E101" s="11" t="inlineStr">
        <is>
          <t>Md. Nayeb Ali</t>
        </is>
      </c>
      <c r="F101" s="10" t="n">
        <v>13653</v>
      </c>
      <c r="G101" s="11" t="inlineStr">
        <is>
          <t>Domar-2</t>
        </is>
      </c>
      <c r="H101" s="10" t="n">
        <v>7285</v>
      </c>
      <c r="I101" s="11" t="inlineStr">
        <is>
          <t>Md. Faysal Ahmed</t>
        </is>
      </c>
      <c r="J101" s="10">
        <f>IF(K101&gt;0, "Completed", "Pending")</f>
        <v/>
      </c>
      <c r="K101" s="10">
        <f>COUNTIF('Survey Responses'!F:F, F101)</f>
        <v/>
      </c>
    </row>
    <row r="102">
      <c r="A102" s="10" t="n">
        <v>101</v>
      </c>
      <c r="B102" s="11" t="inlineStr">
        <is>
          <t>Dinajpur (GEN-A)</t>
        </is>
      </c>
      <c r="C102" s="11" t="inlineStr">
        <is>
          <t>Mr. Saiful Islam</t>
        </is>
      </c>
      <c r="D102" s="11" t="inlineStr">
        <is>
          <t>Panchagarh GEN-A-1</t>
        </is>
      </c>
      <c r="E102" s="11" t="inlineStr">
        <is>
          <t>Md. Nayeb Ali</t>
        </is>
      </c>
      <c r="F102" s="10" t="n">
        <v>10198</v>
      </c>
      <c r="G102" s="11" t="inlineStr">
        <is>
          <t>Panchagorh-1</t>
        </is>
      </c>
      <c r="H102" s="10" t="n">
        <v>1799</v>
      </c>
      <c r="I102" s="11" t="inlineStr">
        <is>
          <t>Md. Rashel Sarker</t>
        </is>
      </c>
      <c r="J102" s="10">
        <f>IF(K102&gt;0, "Completed", "Pending")</f>
        <v/>
      </c>
      <c r="K102" s="10">
        <f>COUNTIF('Survey Responses'!F:F, F102)</f>
        <v/>
      </c>
    </row>
    <row r="103">
      <c r="A103" s="10" t="n">
        <v>102</v>
      </c>
      <c r="B103" s="11" t="inlineStr">
        <is>
          <t>Dinajpur (GEN-A)</t>
        </is>
      </c>
      <c r="C103" s="11" t="inlineStr">
        <is>
          <t>Mr. Saiful Islam</t>
        </is>
      </c>
      <c r="D103" s="11" t="inlineStr">
        <is>
          <t>Panchagarh GEN-A-1</t>
        </is>
      </c>
      <c r="E103" s="11" t="inlineStr">
        <is>
          <t>Md. Nayeb Ali</t>
        </is>
      </c>
      <c r="F103" s="10" t="n">
        <v>10200</v>
      </c>
      <c r="G103" s="11" t="inlineStr">
        <is>
          <t>Panchagorh-2</t>
        </is>
      </c>
      <c r="H103" s="10" t="n">
        <v>8650</v>
      </c>
      <c r="I103" s="11" t="inlineStr">
        <is>
          <t>Mr. Jannatun Nayem</t>
        </is>
      </c>
      <c r="J103" s="10">
        <f>IF(K103&gt;0, "Completed", "Pending")</f>
        <v/>
      </c>
      <c r="K103" s="10">
        <f>COUNTIF('Survey Responses'!F:F, F103)</f>
        <v/>
      </c>
    </row>
    <row r="104">
      <c r="A104" s="10" t="n">
        <v>103</v>
      </c>
      <c r="B104" s="11" t="inlineStr">
        <is>
          <t>Dinajpur (GEN-A)</t>
        </is>
      </c>
      <c r="C104" s="11" t="inlineStr">
        <is>
          <t>Mr. Saiful Islam</t>
        </is>
      </c>
      <c r="D104" s="11" t="inlineStr">
        <is>
          <t>Panchagarh GEN-A-1</t>
        </is>
      </c>
      <c r="E104" s="11" t="inlineStr">
        <is>
          <t>Md. Nayeb Ali</t>
        </is>
      </c>
      <c r="F104" s="10" t="n">
        <v>13063</v>
      </c>
      <c r="G104" s="11" t="inlineStr">
        <is>
          <t>Tetulia-1</t>
        </is>
      </c>
      <c r="H104" s="10" t="n">
        <v>5400</v>
      </c>
      <c r="I104" s="11" t="inlineStr">
        <is>
          <t>Mr. Ranjit Kumar Roy</t>
        </is>
      </c>
      <c r="J104" s="10">
        <f>IF(K104&gt;0, "Completed", "Pending")</f>
        <v/>
      </c>
      <c r="K104" s="10">
        <f>COUNTIF('Survey Responses'!F:F, F104)</f>
        <v/>
      </c>
    </row>
    <row r="105">
      <c r="A105" s="10" t="n">
        <v>104</v>
      </c>
      <c r="B105" s="11" t="inlineStr">
        <is>
          <t>Dinajpur (GEN-A)</t>
        </is>
      </c>
      <c r="C105" s="11" t="inlineStr">
        <is>
          <t>Mr. Saiful Islam</t>
        </is>
      </c>
      <c r="D105" s="11" t="inlineStr">
        <is>
          <t>Ranisankail GEN-A-1</t>
        </is>
      </c>
      <c r="E105" s="11" t="inlineStr">
        <is>
          <t>Sabuj Kumar Saha</t>
        </is>
      </c>
      <c r="F105" s="10" t="n">
        <v>10197</v>
      </c>
      <c r="G105" s="11" t="inlineStr">
        <is>
          <t>Baliadangi-1</t>
        </is>
      </c>
      <c r="H105" s="10" t="n">
        <v>8590</v>
      </c>
      <c r="I105" s="11" t="inlineStr">
        <is>
          <t>Mr. Md. Mojahid Shorif</t>
        </is>
      </c>
      <c r="J105" s="10">
        <f>IF(K105&gt;0, "Completed", "Pending")</f>
        <v/>
      </c>
      <c r="K105" s="10">
        <f>COUNTIF('Survey Responses'!F:F, F105)</f>
        <v/>
      </c>
    </row>
    <row r="106">
      <c r="A106" s="10" t="n">
        <v>105</v>
      </c>
      <c r="B106" s="11" t="inlineStr">
        <is>
          <t>Dinajpur (GEN-A)</t>
        </is>
      </c>
      <c r="C106" s="11" t="inlineStr">
        <is>
          <t>Mr. Saiful Islam</t>
        </is>
      </c>
      <c r="D106" s="11" t="inlineStr">
        <is>
          <t>Ranisankail GEN-A-1</t>
        </is>
      </c>
      <c r="E106" s="11" t="inlineStr">
        <is>
          <t>Sabuj Kumar Saha</t>
        </is>
      </c>
      <c r="F106" s="10" t="n">
        <v>13652</v>
      </c>
      <c r="G106" s="11" t="inlineStr">
        <is>
          <t>Baliadangi-2</t>
        </is>
      </c>
      <c r="H106" s="10" t="n">
        <v>7284</v>
      </c>
      <c r="I106" s="11" t="inlineStr">
        <is>
          <t>Md. Bani Israil</t>
        </is>
      </c>
      <c r="J106" s="10">
        <f>IF(K106&gt;0, "Completed", "Pending")</f>
        <v/>
      </c>
      <c r="K106" s="10">
        <f>COUNTIF('Survey Responses'!F:F, F106)</f>
        <v/>
      </c>
    </row>
    <row r="107">
      <c r="A107" s="10" t="n">
        <v>106</v>
      </c>
      <c r="B107" s="11" t="inlineStr">
        <is>
          <t>Dinajpur (GEN-A)</t>
        </is>
      </c>
      <c r="C107" s="11" t="inlineStr">
        <is>
          <t>Mr. Saiful Islam</t>
        </is>
      </c>
      <c r="D107" s="11" t="inlineStr">
        <is>
          <t>Ranisankail GEN-A-1</t>
        </is>
      </c>
      <c r="E107" s="11" t="inlineStr">
        <is>
          <t>Sabuj Kumar Saha</t>
        </is>
      </c>
      <c r="F107" s="10" t="n">
        <v>10173</v>
      </c>
      <c r="G107" s="11" t="inlineStr">
        <is>
          <t>Pirganj</t>
        </is>
      </c>
      <c r="H107" s="10" t="n">
        <v>6453</v>
      </c>
      <c r="I107" s="11" t="inlineStr">
        <is>
          <t>Mr. Md. Badal Mondal</t>
        </is>
      </c>
      <c r="J107" s="10">
        <f>IF(K107&gt;0, "Completed", "Pending")</f>
        <v/>
      </c>
      <c r="K107" s="10">
        <f>COUNTIF('Survey Responses'!F:F, F107)</f>
        <v/>
      </c>
    </row>
    <row r="108">
      <c r="A108" s="10" t="n">
        <v>107</v>
      </c>
      <c r="B108" s="11" t="inlineStr">
        <is>
          <t>Dinajpur (GEN-A)</t>
        </is>
      </c>
      <c r="C108" s="11" t="inlineStr">
        <is>
          <t>Mr. Saiful Islam</t>
        </is>
      </c>
      <c r="D108" s="11" t="inlineStr">
        <is>
          <t>Ranisankail GEN-A-1</t>
        </is>
      </c>
      <c r="E108" s="11" t="inlineStr">
        <is>
          <t>Sabuj Kumar Saha</t>
        </is>
      </c>
      <c r="F108" s="10" t="n">
        <v>10178</v>
      </c>
      <c r="G108" s="11" t="inlineStr">
        <is>
          <t>Ranisankail-1</t>
        </is>
      </c>
      <c r="H108" s="10" t="n">
        <v>2270</v>
      </c>
      <c r="I108" s="11" t="inlineStr">
        <is>
          <t>Md. Rais Uddin</t>
        </is>
      </c>
      <c r="J108" s="10">
        <f>IF(K108&gt;0, "Completed", "Pending")</f>
        <v/>
      </c>
      <c r="K108" s="10">
        <f>COUNTIF('Survey Responses'!F:F, F108)</f>
        <v/>
      </c>
    </row>
    <row r="109">
      <c r="A109" s="10" t="n">
        <v>108</v>
      </c>
      <c r="B109" s="11" t="inlineStr">
        <is>
          <t>Dinajpur (GEN-A)</t>
        </is>
      </c>
      <c r="C109" s="11" t="inlineStr">
        <is>
          <t>Mr. Saiful Islam</t>
        </is>
      </c>
      <c r="D109" s="11" t="inlineStr">
        <is>
          <t>Ranisankail GEN-A-1</t>
        </is>
      </c>
      <c r="E109" s="11" t="inlineStr">
        <is>
          <t>Sabuj Kumar Saha</t>
        </is>
      </c>
      <c r="F109" s="10" t="n">
        <v>13032</v>
      </c>
      <c r="G109" s="11" t="inlineStr">
        <is>
          <t>Ranisankail-2</t>
        </is>
      </c>
      <c r="H109" s="10" t="n">
        <v>5464</v>
      </c>
      <c r="I109" s="11" t="inlineStr">
        <is>
          <t>Mr. Md. Misbauddin Ahmed</t>
        </is>
      </c>
      <c r="J109" s="10">
        <f>IF(K109&gt;0, "Completed", "Pending")</f>
        <v/>
      </c>
      <c r="K109" s="10">
        <f>COUNTIF('Survey Responses'!F:F, F109)</f>
        <v/>
      </c>
    </row>
    <row r="110">
      <c r="A110" s="10" t="n">
        <v>109</v>
      </c>
      <c r="B110" s="11" t="inlineStr">
        <is>
          <t>Dinajpur (GEN-A)</t>
        </is>
      </c>
      <c r="C110" s="11" t="inlineStr">
        <is>
          <t>Mr. Saiful Islam</t>
        </is>
      </c>
      <c r="D110" s="11" t="inlineStr">
        <is>
          <t>Ranisankail GEN-A-1</t>
        </is>
      </c>
      <c r="E110" s="11" t="inlineStr">
        <is>
          <t>Sabuj Kumar Saha</t>
        </is>
      </c>
      <c r="F110" s="10" t="n">
        <v>10175</v>
      </c>
      <c r="G110" s="11" t="inlineStr">
        <is>
          <t>Setabgonj</t>
        </is>
      </c>
      <c r="H110" s="10" t="n">
        <v>1112</v>
      </c>
      <c r="I110" s="11" t="inlineStr">
        <is>
          <t>Md. Shafiul Alam</t>
        </is>
      </c>
      <c r="J110" s="10">
        <f>IF(K110&gt;0, "Completed", "Pending")</f>
        <v/>
      </c>
      <c r="K110" s="10">
        <f>COUNTIF('Survey Responses'!F:F, F110)</f>
        <v/>
      </c>
    </row>
    <row r="111">
      <c r="A111" s="10" t="n">
        <v>110</v>
      </c>
      <c r="B111" s="11" t="inlineStr">
        <is>
          <t>Dinajpur (GEN-A)</t>
        </is>
      </c>
      <c r="C111" s="11" t="inlineStr">
        <is>
          <t>Mr. Saiful Islam</t>
        </is>
      </c>
      <c r="D111" s="11" t="inlineStr">
        <is>
          <t>Ranisankail GEN-A-1</t>
        </is>
      </c>
      <c r="E111" s="11" t="inlineStr">
        <is>
          <t>Sabuj Kumar Saha</t>
        </is>
      </c>
      <c r="F111" s="10" t="n">
        <v>14568</v>
      </c>
      <c r="G111" s="11" t="inlineStr">
        <is>
          <t>Setabgonj-2</t>
        </is>
      </c>
      <c r="H111" s="10" t="n">
        <v>7633</v>
      </c>
      <c r="I111" s="11" t="inlineStr">
        <is>
          <t>Mr. Shafiqul Islam</t>
        </is>
      </c>
      <c r="J111" s="10">
        <f>IF(K111&gt;0, "Completed", "Pending")</f>
        <v/>
      </c>
      <c r="K111" s="10">
        <f>COUNTIF('Survey Responses'!F:F, F111)</f>
        <v/>
      </c>
    </row>
    <row r="112">
      <c r="A112" s="10" t="n">
        <v>111</v>
      </c>
      <c r="B112" s="11" t="inlineStr">
        <is>
          <t>Dinajpur (GEN-A)</t>
        </is>
      </c>
      <c r="C112" s="11" t="inlineStr">
        <is>
          <t>Mr. Saiful Islam</t>
        </is>
      </c>
      <c r="D112" s="11" t="inlineStr">
        <is>
          <t>Sayedpur GEN-A-1</t>
        </is>
      </c>
      <c r="E112" s="11" t="inlineStr">
        <is>
          <t>Mr. Md. Mostafizur Rahman</t>
        </is>
      </c>
      <c r="F112" s="10" t="n">
        <v>10186</v>
      </c>
      <c r="G112" s="11" t="inlineStr">
        <is>
          <t>Parbotipur-1</t>
        </is>
      </c>
      <c r="H112" s="10" t="n">
        <v>8850</v>
      </c>
      <c r="I112" s="11" t="inlineStr">
        <is>
          <t>Mr. Md. Masum Rana</t>
        </is>
      </c>
      <c r="J112" s="10">
        <f>IF(K112&gt;0, "Completed", "Pending")</f>
        <v/>
      </c>
      <c r="K112" s="10">
        <f>COUNTIF('Survey Responses'!F:F, F112)</f>
        <v/>
      </c>
    </row>
    <row r="113">
      <c r="A113" s="10" t="n">
        <v>112</v>
      </c>
      <c r="B113" s="11" t="inlineStr">
        <is>
          <t>Dinajpur (GEN-A)</t>
        </is>
      </c>
      <c r="C113" s="11" t="inlineStr">
        <is>
          <t>Mr. Saiful Islam</t>
        </is>
      </c>
      <c r="D113" s="11" t="inlineStr">
        <is>
          <t>Sayedpur GEN-A-1</t>
        </is>
      </c>
      <c r="E113" s="11" t="inlineStr">
        <is>
          <t>Mr. Md. Mostafizur Rahman</t>
        </is>
      </c>
      <c r="F113" s="10" t="n">
        <v>13418</v>
      </c>
      <c r="G113" s="11" t="inlineStr">
        <is>
          <t>Parbotipur-2</t>
        </is>
      </c>
      <c r="H113" s="10" t="n">
        <v>618</v>
      </c>
      <c r="I113" s="11" t="inlineStr">
        <is>
          <t>Syed Papul Miah</t>
        </is>
      </c>
      <c r="J113" s="10">
        <f>IF(K113&gt;0, "Completed", "Pending")</f>
        <v/>
      </c>
      <c r="K113" s="10">
        <f>COUNTIF('Survey Responses'!F:F, F113)</f>
        <v/>
      </c>
    </row>
    <row r="114">
      <c r="A114" s="10" t="n">
        <v>113</v>
      </c>
      <c r="B114" s="11" t="inlineStr">
        <is>
          <t>Dinajpur (GEN-A)</t>
        </is>
      </c>
      <c r="C114" s="11" t="inlineStr">
        <is>
          <t>Mr. Saiful Islam</t>
        </is>
      </c>
      <c r="D114" s="11" t="inlineStr">
        <is>
          <t>Sayedpur GEN-A-1</t>
        </is>
      </c>
      <c r="E114" s="11" t="inlineStr">
        <is>
          <t>Mr. Md. Mostafizur Rahman</t>
        </is>
      </c>
      <c r="F114" s="10" t="n">
        <v>10165</v>
      </c>
      <c r="G114" s="11" t="inlineStr">
        <is>
          <t>Sayedpur-1</t>
        </is>
      </c>
      <c r="H114" s="10" t="n">
        <v>1428</v>
      </c>
      <c r="I114" s="11" t="inlineStr">
        <is>
          <t>Md. Rabin Chowdhury</t>
        </is>
      </c>
      <c r="J114" s="10">
        <f>IF(K114&gt;0, "Completed", "Pending")</f>
        <v/>
      </c>
      <c r="K114" s="10">
        <f>COUNTIF('Survey Responses'!F:F, F114)</f>
        <v/>
      </c>
    </row>
    <row r="115">
      <c r="A115" s="10" t="n">
        <v>114</v>
      </c>
      <c r="B115" s="11" t="inlineStr">
        <is>
          <t>Dinajpur (GEN-A)</t>
        </is>
      </c>
      <c r="C115" s="11" t="inlineStr">
        <is>
          <t>Mr. Saiful Islam</t>
        </is>
      </c>
      <c r="D115" s="11" t="inlineStr">
        <is>
          <t>Sayedpur GEN-A-1</t>
        </is>
      </c>
      <c r="E115" s="11" t="inlineStr">
        <is>
          <t>Mr. Md. Mostafizur Rahman</t>
        </is>
      </c>
      <c r="F115" s="10" t="n">
        <v>10170</v>
      </c>
      <c r="G115" s="11" t="inlineStr">
        <is>
          <t>Sayedpur-2</t>
        </is>
      </c>
      <c r="H115" s="10" t="n">
        <v>1879</v>
      </c>
      <c r="I115" s="11" t="inlineStr">
        <is>
          <t>Md. Abdul Latif Sardar</t>
        </is>
      </c>
      <c r="J115" s="10">
        <f>IF(K115&gt;0, "Completed", "Pending")</f>
        <v/>
      </c>
      <c r="K115" s="10">
        <f>COUNTIF('Survey Responses'!F:F, F115)</f>
        <v/>
      </c>
    </row>
    <row r="116">
      <c r="A116" s="10" t="n">
        <v>115</v>
      </c>
      <c r="B116" s="11" t="inlineStr">
        <is>
          <t>Dinajpur (GEN-A)</t>
        </is>
      </c>
      <c r="C116" s="11" t="inlineStr">
        <is>
          <t>Mr. Saiful Islam</t>
        </is>
      </c>
      <c r="D116" s="11" t="inlineStr">
        <is>
          <t>Sayedpur GEN-A-1</t>
        </is>
      </c>
      <c r="E116" s="11" t="inlineStr">
        <is>
          <t>Mr. Md. Mostafizur Rahman</t>
        </is>
      </c>
      <c r="F116" s="10" t="n">
        <v>10171</v>
      </c>
      <c r="G116" s="11" t="inlineStr">
        <is>
          <t>Sayedpur-3</t>
        </is>
      </c>
      <c r="H116" s="10" t="n">
        <v>2684</v>
      </c>
      <c r="I116" s="11" t="inlineStr">
        <is>
          <t>Md. Sohel Rana-6228</t>
        </is>
      </c>
      <c r="J116" s="10">
        <f>IF(K116&gt;0, "Completed", "Pending")</f>
        <v/>
      </c>
      <c r="K116" s="10">
        <f>COUNTIF('Survey Responses'!F:F, F116)</f>
        <v/>
      </c>
    </row>
    <row r="117">
      <c r="A117" s="10" t="n">
        <v>116</v>
      </c>
      <c r="B117" s="11" t="inlineStr">
        <is>
          <t>Dinajpur (GEN-A)</t>
        </is>
      </c>
      <c r="C117" s="11" t="inlineStr">
        <is>
          <t>Mr. Saiful Islam</t>
        </is>
      </c>
      <c r="D117" s="11" t="inlineStr">
        <is>
          <t>Sayedpur GEN-A-1</t>
        </is>
      </c>
      <c r="E117" s="11" t="inlineStr">
        <is>
          <t>Mr. Md. Mostafizur Rahman</t>
        </is>
      </c>
      <c r="F117" s="10" t="n">
        <v>14079</v>
      </c>
      <c r="G117" s="11" t="inlineStr">
        <is>
          <t>Sayedpur-4</t>
        </is>
      </c>
      <c r="H117" s="10" t="n">
        <v>1886</v>
      </c>
      <c r="I117" s="11" t="inlineStr">
        <is>
          <t>Md. Ariful Islam</t>
        </is>
      </c>
      <c r="J117" s="10">
        <f>IF(K117&gt;0, "Completed", "Pending")</f>
        <v/>
      </c>
      <c r="K117" s="10">
        <f>COUNTIF('Survey Responses'!F:F, F117)</f>
        <v/>
      </c>
    </row>
    <row r="118">
      <c r="A118" s="10" t="n">
        <v>117</v>
      </c>
      <c r="B118" s="11" t="inlineStr">
        <is>
          <t>Dinajpur (GEN-A)</t>
        </is>
      </c>
      <c r="C118" s="11" t="inlineStr">
        <is>
          <t>Mr. Saiful Islam</t>
        </is>
      </c>
      <c r="D118" s="11" t="inlineStr">
        <is>
          <t>Sayedpur GEN-A-1</t>
        </is>
      </c>
      <c r="E118" s="11" t="inlineStr">
        <is>
          <t>Mr. Md. Mostafizur Rahman</t>
        </is>
      </c>
      <c r="F118" s="10" t="n">
        <v>10221</v>
      </c>
      <c r="G118" s="11" t="inlineStr">
        <is>
          <t>Taragonj</t>
        </is>
      </c>
      <c r="H118" s="10" t="n">
        <v>1561</v>
      </c>
      <c r="I118" s="11" t="inlineStr">
        <is>
          <t>Md. Masud Rana</t>
        </is>
      </c>
      <c r="J118" s="10">
        <f>IF(K118&gt;0, "Completed", "Pending")</f>
        <v/>
      </c>
      <c r="K118" s="10">
        <f>COUNTIF('Survey Responses'!F:F, F118)</f>
        <v/>
      </c>
    </row>
    <row r="119">
      <c r="A119" s="10" t="n">
        <v>118</v>
      </c>
      <c r="B119" s="11" t="inlineStr">
        <is>
          <t>Dinajpur (GEN-A)</t>
        </is>
      </c>
      <c r="C119" s="11" t="inlineStr">
        <is>
          <t>Mr. Saiful Islam</t>
        </is>
      </c>
      <c r="D119" s="11" t="inlineStr">
        <is>
          <t>Thakurgoan GEN-A-1</t>
        </is>
      </c>
      <c r="E119" s="11" t="inlineStr">
        <is>
          <t>S.M. Shakil Mahmud</t>
        </is>
      </c>
      <c r="F119" s="10" t="n">
        <v>13484</v>
      </c>
      <c r="G119" s="11" t="inlineStr">
        <is>
          <t>Atwari-1</t>
        </is>
      </c>
      <c r="H119" s="10" t="n">
        <v>7127</v>
      </c>
      <c r="I119" s="11" t="inlineStr">
        <is>
          <t>Mr. Rahee Mostakim</t>
        </is>
      </c>
      <c r="J119" s="10">
        <f>IF(K119&gt;0, "Completed", "Pending")</f>
        <v/>
      </c>
      <c r="K119" s="10">
        <f>COUNTIF('Survey Responses'!F:F, F119)</f>
        <v/>
      </c>
    </row>
    <row r="120">
      <c r="A120" s="10" t="n">
        <v>119</v>
      </c>
      <c r="B120" s="11" t="inlineStr">
        <is>
          <t>Dinajpur (GEN-A)</t>
        </is>
      </c>
      <c r="C120" s="11" t="inlineStr">
        <is>
          <t>Mr. Saiful Islam</t>
        </is>
      </c>
      <c r="D120" s="11" t="inlineStr">
        <is>
          <t>Thakurgoan GEN-A-1</t>
        </is>
      </c>
      <c r="E120" s="11" t="inlineStr">
        <is>
          <t>S.M. Shakil Mahmud</t>
        </is>
      </c>
      <c r="F120" s="10" t="n">
        <v>10185</v>
      </c>
      <c r="G120" s="11" t="inlineStr">
        <is>
          <t>Birganj-1</t>
        </is>
      </c>
      <c r="H120" s="10" t="n">
        <v>7283</v>
      </c>
      <c r="I120" s="11" t="inlineStr">
        <is>
          <t>Tanmay Sarker</t>
        </is>
      </c>
      <c r="J120" s="10">
        <f>IF(K120&gt;0, "Completed", "Pending")</f>
        <v/>
      </c>
      <c r="K120" s="10">
        <f>COUNTIF('Survey Responses'!F:F, F120)</f>
        <v/>
      </c>
    </row>
    <row r="121">
      <c r="A121" s="10" t="n">
        <v>120</v>
      </c>
      <c r="B121" s="11" t="inlineStr">
        <is>
          <t>Dinajpur (GEN-A)</t>
        </is>
      </c>
      <c r="C121" s="11" t="inlineStr">
        <is>
          <t>Mr. Saiful Islam</t>
        </is>
      </c>
      <c r="D121" s="11" t="inlineStr">
        <is>
          <t>Thakurgoan GEN-A-1</t>
        </is>
      </c>
      <c r="E121" s="11" t="inlineStr">
        <is>
          <t>S.M. Shakil Mahmud</t>
        </is>
      </c>
      <c r="F121" s="10" t="n">
        <v>12597</v>
      </c>
      <c r="G121" s="11" t="inlineStr">
        <is>
          <t>Birgonj-2</t>
        </is>
      </c>
      <c r="H121" s="10" t="n">
        <v>4187</v>
      </c>
      <c r="I121" s="11" t="inlineStr">
        <is>
          <t>Mr. Md. Abdur Rahim</t>
        </is>
      </c>
      <c r="J121" s="10">
        <f>IF(K121&gt;0, "Completed", "Pending")</f>
        <v/>
      </c>
      <c r="K121" s="10">
        <f>COUNTIF('Survey Responses'!F:F, F121)</f>
        <v/>
      </c>
    </row>
    <row r="122">
      <c r="A122" s="10" t="n">
        <v>121</v>
      </c>
      <c r="B122" s="11" t="inlineStr">
        <is>
          <t>Dinajpur (GEN-A)</t>
        </is>
      </c>
      <c r="C122" s="11" t="inlineStr">
        <is>
          <t>Mr. Saiful Islam</t>
        </is>
      </c>
      <c r="D122" s="11" t="inlineStr">
        <is>
          <t>Thakurgoan GEN-A-1</t>
        </is>
      </c>
      <c r="E122" s="11" t="inlineStr">
        <is>
          <t>S.M. Shakil Mahmud</t>
        </is>
      </c>
      <c r="F122" s="10" t="n">
        <v>14653</v>
      </c>
      <c r="G122" s="11" t="inlineStr">
        <is>
          <t>Goriya (Thakurgaon)</t>
        </is>
      </c>
      <c r="H122" s="10" t="n">
        <v>8320</v>
      </c>
      <c r="I122" s="11" t="inlineStr">
        <is>
          <t>Mr. Mahamudul Hasan</t>
        </is>
      </c>
      <c r="J122" s="10">
        <f>IF(K122&gt;0, "Completed", "Pending")</f>
        <v/>
      </c>
      <c r="K122" s="10">
        <f>COUNTIF('Survey Responses'!F:F, F122)</f>
        <v/>
      </c>
    </row>
    <row r="123">
      <c r="A123" s="10" t="n">
        <v>122</v>
      </c>
      <c r="B123" s="11" t="inlineStr">
        <is>
          <t>Dinajpur (GEN-A)</t>
        </is>
      </c>
      <c r="C123" s="11" t="inlineStr">
        <is>
          <t>Mr. Saiful Islam</t>
        </is>
      </c>
      <c r="D123" s="11" t="inlineStr">
        <is>
          <t>Thakurgoan GEN-A-1</t>
        </is>
      </c>
      <c r="E123" s="11" t="inlineStr">
        <is>
          <t>S.M. Shakil Mahmud</t>
        </is>
      </c>
      <c r="F123" s="10" t="n">
        <v>10193</v>
      </c>
      <c r="G123" s="11" t="inlineStr">
        <is>
          <t>Thakurgaon-1</t>
        </is>
      </c>
      <c r="H123" s="10" t="n">
        <v>5041</v>
      </c>
      <c r="I123" s="11" t="inlineStr">
        <is>
          <t>Mr. Md. Rasel Sarker</t>
        </is>
      </c>
      <c r="J123" s="10">
        <f>IF(K123&gt;0, "Completed", "Pending")</f>
        <v/>
      </c>
      <c r="K123" s="10">
        <f>COUNTIF('Survey Responses'!F:F, F123)</f>
        <v/>
      </c>
    </row>
    <row r="124">
      <c r="A124" s="10" t="n">
        <v>123</v>
      </c>
      <c r="B124" s="11" t="inlineStr">
        <is>
          <t>Dinajpur (GEN-A)</t>
        </is>
      </c>
      <c r="C124" s="11" t="inlineStr">
        <is>
          <t>Mr. Saiful Islam</t>
        </is>
      </c>
      <c r="D124" s="11" t="inlineStr">
        <is>
          <t>Thakurgoan GEN-A-1</t>
        </is>
      </c>
      <c r="E124" s="11" t="inlineStr">
        <is>
          <t>S.M. Shakil Mahmud</t>
        </is>
      </c>
      <c r="F124" s="10" t="n">
        <v>10196</v>
      </c>
      <c r="G124" s="11" t="inlineStr">
        <is>
          <t>Thakurgaon-2</t>
        </is>
      </c>
      <c r="H124" s="10" t="n">
        <v>5624</v>
      </c>
      <c r="I124" s="11" t="inlineStr">
        <is>
          <t>Mr. Md. Nahidul Islam-5624</t>
        </is>
      </c>
      <c r="J124" s="10">
        <f>IF(K124&gt;0, "Completed", "Pending")</f>
        <v/>
      </c>
      <c r="K124" s="10">
        <f>COUNTIF('Survey Responses'!F:F, F124)</f>
        <v/>
      </c>
    </row>
    <row r="125">
      <c r="A125" s="10" t="n">
        <v>124</v>
      </c>
      <c r="B125" s="11" t="inlineStr">
        <is>
          <t>Dinajpur (GEN-A)</t>
        </is>
      </c>
      <c r="C125" s="11" t="inlineStr">
        <is>
          <t>Mr. Saiful Islam</t>
        </is>
      </c>
      <c r="D125" s="11" t="inlineStr">
        <is>
          <t>Thakurgoan GEN-A-1</t>
        </is>
      </c>
      <c r="E125" s="11" t="inlineStr">
        <is>
          <t>S.M. Shakil Mahmud</t>
        </is>
      </c>
      <c r="F125" s="10" t="n">
        <v>10199</v>
      </c>
      <c r="G125" s="11" t="inlineStr">
        <is>
          <t>Thakurgaon-3</t>
        </is>
      </c>
      <c r="H125" s="10" t="n">
        <v>2846</v>
      </c>
      <c r="I125" s="11" t="inlineStr">
        <is>
          <t>Md. Sajib Islam</t>
        </is>
      </c>
      <c r="J125" s="10">
        <f>IF(K125&gt;0, "Completed", "Pending")</f>
        <v/>
      </c>
      <c r="K125" s="10">
        <f>COUNTIF('Survey Responses'!F:F, F125)</f>
        <v/>
      </c>
    </row>
    <row r="126">
      <c r="A126" s="10" t="n">
        <v>125</v>
      </c>
      <c r="B126" s="11" t="inlineStr">
        <is>
          <t>Dinajpur (GEN-A)</t>
        </is>
      </c>
      <c r="C126" s="11" t="inlineStr">
        <is>
          <t>Mr. Saiful Islam</t>
        </is>
      </c>
      <c r="D126" s="11" t="inlineStr">
        <is>
          <t>Thakurgoan GEN-A-1</t>
        </is>
      </c>
      <c r="E126" s="11" t="inlineStr">
        <is>
          <t>S.M. Shakil Mahmud</t>
        </is>
      </c>
      <c r="F126" s="10" t="n">
        <v>12570</v>
      </c>
      <c r="G126" s="11" t="inlineStr">
        <is>
          <t>Thakurgaon-4</t>
        </is>
      </c>
      <c r="H126" s="10" t="n">
        <v>3978</v>
      </c>
      <c r="I126" s="11" t="inlineStr">
        <is>
          <t>Mr. Md. Manik Mia</t>
        </is>
      </c>
      <c r="J126" s="10">
        <f>IF(K126&gt;0, "Completed", "Pending")</f>
        <v/>
      </c>
      <c r="K126" s="10">
        <f>COUNTIF('Survey Responses'!F:F, F126)</f>
        <v/>
      </c>
    </row>
    <row r="127">
      <c r="A127" s="10" t="n">
        <v>126</v>
      </c>
      <c r="B127" s="11" t="inlineStr">
        <is>
          <t>Kushtia (GEN-A)</t>
        </is>
      </c>
      <c r="C127" s="11" t="inlineStr">
        <is>
          <t>Mr. Meer Mosfeq-Us-Saleheen</t>
        </is>
      </c>
      <c r="D127" s="11" t="inlineStr">
        <is>
          <t>Bheramara GEN-A-1</t>
        </is>
      </c>
      <c r="E127" s="11" t="inlineStr">
        <is>
          <t>Mr. Md. Nazmul Huda</t>
        </is>
      </c>
      <c r="F127" s="10" t="n">
        <v>13304</v>
      </c>
      <c r="G127" s="11" t="inlineStr">
        <is>
          <t>Allardarga</t>
        </is>
      </c>
      <c r="H127" s="10" t="n">
        <v>5994</v>
      </c>
      <c r="I127" s="11" t="inlineStr">
        <is>
          <t>Mr. Md. Imamul Hossen</t>
        </is>
      </c>
      <c r="J127" s="10">
        <f>IF(K127&gt;0, "Completed", "Pending")</f>
        <v/>
      </c>
      <c r="K127" s="10">
        <f>COUNTIF('Survey Responses'!F:F, F127)</f>
        <v/>
      </c>
    </row>
    <row r="128">
      <c r="A128" s="10" t="n">
        <v>127</v>
      </c>
      <c r="B128" s="11" t="inlineStr">
        <is>
          <t>Kushtia (GEN-A)</t>
        </is>
      </c>
      <c r="C128" s="11" t="inlineStr">
        <is>
          <t>Mr. Meer Mosfeq-Us-Saleheen</t>
        </is>
      </c>
      <c r="D128" s="11" t="inlineStr">
        <is>
          <t>Bheramara GEN-A-1</t>
        </is>
      </c>
      <c r="E128" s="11" t="inlineStr">
        <is>
          <t>Mr. Md. Nazmul Huda</t>
        </is>
      </c>
      <c r="F128" s="10" t="n">
        <v>10304</v>
      </c>
      <c r="G128" s="11" t="inlineStr">
        <is>
          <t>Bheramara-1</t>
        </is>
      </c>
      <c r="H128" s="10" t="n">
        <v>2211</v>
      </c>
      <c r="I128" s="11" t="inlineStr">
        <is>
          <t>Shamim Ahamed</t>
        </is>
      </c>
      <c r="J128" s="10">
        <f>IF(K128&gt;0, "Completed", "Pending")</f>
        <v/>
      </c>
      <c r="K128" s="10">
        <f>COUNTIF('Survey Responses'!F:F, F128)</f>
        <v/>
      </c>
    </row>
    <row r="129">
      <c r="A129" s="10" t="n">
        <v>128</v>
      </c>
      <c r="B129" s="11" t="inlineStr">
        <is>
          <t>Kushtia (GEN-A)</t>
        </is>
      </c>
      <c r="C129" s="11" t="inlineStr">
        <is>
          <t>Mr. Meer Mosfeq-Us-Saleheen</t>
        </is>
      </c>
      <c r="D129" s="11" t="inlineStr">
        <is>
          <t>Bheramara GEN-A-1</t>
        </is>
      </c>
      <c r="E129" s="11" t="inlineStr">
        <is>
          <t>Mr. Md. Nazmul Huda</t>
        </is>
      </c>
      <c r="F129" s="10" t="n">
        <v>10306</v>
      </c>
      <c r="G129" s="11" t="inlineStr">
        <is>
          <t>Bheramara-2</t>
        </is>
      </c>
      <c r="H129" s="10" t="n">
        <v>2775</v>
      </c>
      <c r="I129" s="11" t="inlineStr">
        <is>
          <t>Md. Shohel Rana</t>
        </is>
      </c>
      <c r="J129" s="10">
        <f>IF(K129&gt;0, "Completed", "Pending")</f>
        <v/>
      </c>
      <c r="K129" s="10">
        <f>COUNTIF('Survey Responses'!F:F, F129)</f>
        <v/>
      </c>
    </row>
    <row r="130">
      <c r="A130" s="10" t="n">
        <v>129</v>
      </c>
      <c r="B130" s="11" t="inlineStr">
        <is>
          <t>Kushtia (GEN-A)</t>
        </is>
      </c>
      <c r="C130" s="11" t="inlineStr">
        <is>
          <t>Mr. Meer Mosfeq-Us-Saleheen</t>
        </is>
      </c>
      <c r="D130" s="11" t="inlineStr">
        <is>
          <t>Bheramara GEN-A-1</t>
        </is>
      </c>
      <c r="E130" s="11" t="inlineStr">
        <is>
          <t>Mr. Md. Nazmul Huda</t>
        </is>
      </c>
      <c r="F130" s="10" t="n">
        <v>14559</v>
      </c>
      <c r="G130" s="11" t="inlineStr">
        <is>
          <t>Bheramara-3</t>
        </is>
      </c>
      <c r="H130" s="10" t="n">
        <v>7663</v>
      </c>
      <c r="I130" s="11" t="inlineStr">
        <is>
          <t>Mr. Md. Abdullah Al-Mamun</t>
        </is>
      </c>
      <c r="J130" s="10">
        <f>IF(K130&gt;0, "Completed", "Pending")</f>
        <v/>
      </c>
      <c r="K130" s="10">
        <f>COUNTIF('Survey Responses'!F:F, F130)</f>
        <v/>
      </c>
    </row>
    <row r="131">
      <c r="A131" s="10" t="n">
        <v>130</v>
      </c>
      <c r="B131" s="11" t="inlineStr">
        <is>
          <t>Kushtia (GEN-A)</t>
        </is>
      </c>
      <c r="C131" s="11" t="inlineStr">
        <is>
          <t>Mr. Meer Mosfeq-Us-Saleheen</t>
        </is>
      </c>
      <c r="D131" s="11" t="inlineStr">
        <is>
          <t>Bheramara GEN-A-1</t>
        </is>
      </c>
      <c r="E131" s="11" t="inlineStr">
        <is>
          <t>Mr. Md. Nazmul Huda</t>
        </is>
      </c>
      <c r="F131" s="10" t="n">
        <v>13483</v>
      </c>
      <c r="G131" s="11" t="inlineStr">
        <is>
          <t>Dasuria-1</t>
        </is>
      </c>
      <c r="H131" s="10" t="n">
        <v>7124</v>
      </c>
      <c r="I131" s="11" t="inlineStr">
        <is>
          <t>Mr. Joy Biswas</t>
        </is>
      </c>
      <c r="J131" s="10">
        <f>IF(K131&gt;0, "Completed", "Pending")</f>
        <v/>
      </c>
      <c r="K131" s="10">
        <f>COUNTIF('Survey Responses'!F:F, F131)</f>
        <v/>
      </c>
    </row>
    <row r="132">
      <c r="A132" s="10" t="n">
        <v>131</v>
      </c>
      <c r="B132" s="11" t="inlineStr">
        <is>
          <t>Kushtia (GEN-A)</t>
        </is>
      </c>
      <c r="C132" s="11" t="inlineStr">
        <is>
          <t>Mr. Meer Mosfeq-Us-Saleheen</t>
        </is>
      </c>
      <c r="D132" s="11" t="inlineStr">
        <is>
          <t>Bheramara GEN-A-1</t>
        </is>
      </c>
      <c r="E132" s="11" t="inlineStr">
        <is>
          <t>Mr. Md. Nazmul Huda</t>
        </is>
      </c>
      <c r="F132" s="10" t="n">
        <v>10305</v>
      </c>
      <c r="G132" s="11" t="inlineStr">
        <is>
          <t>Daulatpur-1</t>
        </is>
      </c>
      <c r="H132" s="10" t="n">
        <v>2308</v>
      </c>
      <c r="I132" s="11" t="inlineStr">
        <is>
          <t>Md. Rasel Sheikhe</t>
        </is>
      </c>
      <c r="J132" s="10">
        <f>IF(K132&gt;0, "Completed", "Pending")</f>
        <v/>
      </c>
      <c r="K132" s="10">
        <f>COUNTIF('Survey Responses'!F:F, F132)</f>
        <v/>
      </c>
    </row>
    <row r="133">
      <c r="A133" s="10" t="n">
        <v>132</v>
      </c>
      <c r="B133" s="11" t="inlineStr">
        <is>
          <t>Kushtia (GEN-A)</t>
        </is>
      </c>
      <c r="C133" s="11" t="inlineStr">
        <is>
          <t>Mr. Meer Mosfeq-Us-Saleheen</t>
        </is>
      </c>
      <c r="D133" s="11" t="inlineStr">
        <is>
          <t>Bheramara GEN-A-1</t>
        </is>
      </c>
      <c r="E133" s="11" t="inlineStr">
        <is>
          <t>Mr. Md. Nazmul Huda</t>
        </is>
      </c>
      <c r="F133" s="10" t="n">
        <v>12203</v>
      </c>
      <c r="G133" s="11" t="inlineStr">
        <is>
          <t>Daulatpur-2</t>
        </is>
      </c>
      <c r="H133" s="10" t="n">
        <v>3994</v>
      </c>
      <c r="I133" s="11" t="inlineStr">
        <is>
          <t>Mr. Md. Hridoy Bepari</t>
        </is>
      </c>
      <c r="J133" s="10">
        <f>IF(K133&gt;0, "Completed", "Pending")</f>
        <v/>
      </c>
      <c r="K133" s="10">
        <f>COUNTIF('Survey Responses'!F:F, F133)</f>
        <v/>
      </c>
    </row>
    <row r="134">
      <c r="A134" s="10" t="n">
        <v>133</v>
      </c>
      <c r="B134" s="11" t="inlineStr">
        <is>
          <t>Kushtia (GEN-A)</t>
        </is>
      </c>
      <c r="C134" s="11" t="inlineStr">
        <is>
          <t>Mr. Meer Mosfeq-Us-Saleheen</t>
        </is>
      </c>
      <c r="D134" s="11" t="inlineStr">
        <is>
          <t>Bonpara GEN-A-1</t>
        </is>
      </c>
      <c r="E134" s="11" t="inlineStr">
        <is>
          <t>Md. Sadequzzaman</t>
        </is>
      </c>
      <c r="F134" s="10" t="n">
        <v>12571</v>
      </c>
      <c r="G134" s="11" t="inlineStr">
        <is>
          <t>Atgharia-1</t>
        </is>
      </c>
      <c r="H134" s="10" t="n">
        <v>5200</v>
      </c>
      <c r="I134" s="11" t="inlineStr">
        <is>
          <t>Mr. Md. Mehedi Hassan</t>
        </is>
      </c>
      <c r="J134" s="10">
        <f>IF(K134&gt;0, "Completed", "Pending")</f>
        <v/>
      </c>
      <c r="K134" s="10">
        <f>COUNTIF('Survey Responses'!F:F, F134)</f>
        <v/>
      </c>
    </row>
    <row r="135">
      <c r="A135" s="10" t="n">
        <v>134</v>
      </c>
      <c r="B135" s="11" t="inlineStr">
        <is>
          <t>Kushtia (GEN-A)</t>
        </is>
      </c>
      <c r="C135" s="11" t="inlineStr">
        <is>
          <t>Mr. Meer Mosfeq-Us-Saleheen</t>
        </is>
      </c>
      <c r="D135" s="11" t="inlineStr">
        <is>
          <t>Bonpara GEN-A-1</t>
        </is>
      </c>
      <c r="E135" s="11" t="inlineStr">
        <is>
          <t>Md. Sadequzzaman</t>
        </is>
      </c>
      <c r="F135" s="10" t="n">
        <v>10296</v>
      </c>
      <c r="G135" s="11" t="inlineStr">
        <is>
          <t>Bonpara</t>
        </is>
      </c>
      <c r="H135" s="10" t="n">
        <v>801</v>
      </c>
      <c r="I135" s="11" t="inlineStr">
        <is>
          <t>Md. Torikul Islam</t>
        </is>
      </c>
      <c r="J135" s="10">
        <f>IF(K135&gt;0, "Completed", "Pending")</f>
        <v/>
      </c>
      <c r="K135" s="10">
        <f>COUNTIF('Survey Responses'!F:F, F135)</f>
        <v/>
      </c>
    </row>
    <row r="136">
      <c r="A136" s="10" t="n">
        <v>135</v>
      </c>
      <c r="B136" s="11" t="inlineStr">
        <is>
          <t>Kushtia (GEN-A)</t>
        </is>
      </c>
      <c r="C136" s="11" t="inlineStr">
        <is>
          <t>Mr. Meer Mosfeq-Us-Saleheen</t>
        </is>
      </c>
      <c r="D136" s="11" t="inlineStr">
        <is>
          <t>Bonpara GEN-A-1</t>
        </is>
      </c>
      <c r="E136" s="11" t="inlineStr">
        <is>
          <t>Md. Sadequzzaman</t>
        </is>
      </c>
      <c r="F136" s="10" t="n">
        <v>12204</v>
      </c>
      <c r="G136" s="11" t="inlineStr">
        <is>
          <t>Bonpara-2</t>
        </is>
      </c>
      <c r="H136" s="10" t="n">
        <v>2026</v>
      </c>
      <c r="I136" s="11" t="inlineStr">
        <is>
          <t>Nirmal Kumar</t>
        </is>
      </c>
      <c r="J136" s="10">
        <f>IF(K136&gt;0, "Completed", "Pending")</f>
        <v/>
      </c>
      <c r="K136" s="10">
        <f>COUNTIF('Survey Responses'!F:F, F136)</f>
        <v/>
      </c>
    </row>
    <row r="137">
      <c r="A137" s="10" t="n">
        <v>136</v>
      </c>
      <c r="B137" s="11" t="inlineStr">
        <is>
          <t>Kushtia (GEN-A)</t>
        </is>
      </c>
      <c r="C137" s="11" t="inlineStr">
        <is>
          <t>Mr. Meer Mosfeq-Us-Saleheen</t>
        </is>
      </c>
      <c r="D137" s="11" t="inlineStr">
        <is>
          <t>Bonpara GEN-A-1</t>
        </is>
      </c>
      <c r="E137" s="11" t="inlineStr">
        <is>
          <t>Md. Sadequzzaman</t>
        </is>
      </c>
      <c r="F137" s="10" t="n">
        <v>14148</v>
      </c>
      <c r="G137" s="11" t="inlineStr">
        <is>
          <t>Bonpara-3</t>
        </is>
      </c>
      <c r="H137" s="10" t="n">
        <v>7493</v>
      </c>
      <c r="I137" s="11" t="inlineStr">
        <is>
          <t>Mr. Md. Amranul Alam</t>
        </is>
      </c>
      <c r="J137" s="10">
        <f>IF(K137&gt;0, "Completed", "Pending")</f>
        <v/>
      </c>
      <c r="K137" s="10">
        <f>COUNTIF('Survey Responses'!F:F, F137)</f>
        <v/>
      </c>
    </row>
    <row r="138">
      <c r="A138" s="10" t="n">
        <v>137</v>
      </c>
      <c r="B138" s="11" t="inlineStr">
        <is>
          <t>Kushtia (GEN-A)</t>
        </is>
      </c>
      <c r="C138" s="11" t="inlineStr">
        <is>
          <t>Mr. Meer Mosfeq-Us-Saleheen</t>
        </is>
      </c>
      <c r="D138" s="11" t="inlineStr">
        <is>
          <t>Bonpara GEN-A-1</t>
        </is>
      </c>
      <c r="E138" s="11" t="inlineStr">
        <is>
          <t>Md. Sadequzzaman</t>
        </is>
      </c>
      <c r="F138" s="10" t="n">
        <v>10286</v>
      </c>
      <c r="G138" s="11" t="inlineStr">
        <is>
          <t>Chatmohor</t>
        </is>
      </c>
      <c r="H138" s="10" t="n">
        <v>8848</v>
      </c>
      <c r="I138" s="11" t="inlineStr">
        <is>
          <t>Mr. Mohoshin Kabir</t>
        </is>
      </c>
      <c r="J138" s="10">
        <f>IF(K138&gt;0, "Completed", "Pending")</f>
        <v/>
      </c>
      <c r="K138" s="10">
        <f>COUNTIF('Survey Responses'!F:F, F138)</f>
        <v/>
      </c>
    </row>
    <row r="139">
      <c r="A139" s="10" t="n">
        <v>138</v>
      </c>
      <c r="B139" s="11" t="inlineStr">
        <is>
          <t>Kushtia (GEN-A)</t>
        </is>
      </c>
      <c r="C139" s="11" t="inlineStr">
        <is>
          <t>Mr. Meer Mosfeq-Us-Saleheen</t>
        </is>
      </c>
      <c r="D139" s="11" t="inlineStr">
        <is>
          <t>Bonpara GEN-A-1</t>
        </is>
      </c>
      <c r="E139" s="11" t="inlineStr">
        <is>
          <t>Md. Sadequzzaman</t>
        </is>
      </c>
      <c r="F139" s="10" t="n">
        <v>13187</v>
      </c>
      <c r="G139" s="11" t="inlineStr">
        <is>
          <t>Chatmohor-2</t>
        </is>
      </c>
      <c r="H139" s="10" t="n">
        <v>5813</v>
      </c>
      <c r="I139" s="11" t="inlineStr">
        <is>
          <t>Mr. Md. Raihan Ahmed</t>
        </is>
      </c>
      <c r="J139" s="10">
        <f>IF(K139&gt;0, "Completed", "Pending")</f>
        <v/>
      </c>
      <c r="K139" s="10">
        <f>COUNTIF('Survey Responses'!F:F, F139)</f>
        <v/>
      </c>
    </row>
    <row r="140">
      <c r="A140" s="10" t="n">
        <v>139</v>
      </c>
      <c r="B140" s="11" t="inlineStr">
        <is>
          <t>Kushtia (GEN-A)</t>
        </is>
      </c>
      <c r="C140" s="11" t="inlineStr">
        <is>
          <t>Mr. Meer Mosfeq-Us-Saleheen</t>
        </is>
      </c>
      <c r="D140" s="11" t="inlineStr">
        <is>
          <t>Bonpara GEN-A-1</t>
        </is>
      </c>
      <c r="E140" s="11" t="inlineStr">
        <is>
          <t>Md. Sadequzzaman</t>
        </is>
      </c>
      <c r="F140" s="10" t="n">
        <v>10285</v>
      </c>
      <c r="G140" s="11" t="inlineStr">
        <is>
          <t>Vangura</t>
        </is>
      </c>
      <c r="H140" s="10" t="n">
        <v>4190</v>
      </c>
      <c r="I140" s="11" t="inlineStr">
        <is>
          <t>Mr. Md. Selim Reza</t>
        </is>
      </c>
      <c r="J140" s="10">
        <f>IF(K140&gt;0, "Completed", "Pending")</f>
        <v/>
      </c>
      <c r="K140" s="10">
        <f>COUNTIF('Survey Responses'!F:F, F140)</f>
        <v/>
      </c>
    </row>
    <row r="141">
      <c r="A141" s="10" t="n">
        <v>140</v>
      </c>
      <c r="B141" s="11" t="inlineStr">
        <is>
          <t>Kushtia (GEN-A)</t>
        </is>
      </c>
      <c r="C141" s="11" t="inlineStr">
        <is>
          <t>Mr. Meer Mosfeq-Us-Saleheen</t>
        </is>
      </c>
      <c r="D141" s="11" t="inlineStr">
        <is>
          <t>Bonpara GEN-A-1</t>
        </is>
      </c>
      <c r="E141" s="11" t="inlineStr">
        <is>
          <t>Md. Sadequzzaman</t>
        </is>
      </c>
      <c r="F141" s="10" t="n">
        <v>14881</v>
      </c>
      <c r="G141" s="11" t="inlineStr">
        <is>
          <t>Vangura-2</t>
        </is>
      </c>
      <c r="H141" s="10" t="n">
        <v>8988</v>
      </c>
      <c r="I141" s="11" t="inlineStr">
        <is>
          <t>Mr. Protap Kumar</t>
        </is>
      </c>
      <c r="J141" s="10">
        <f>IF(K141&gt;0, "Completed", "Pending")</f>
        <v/>
      </c>
      <c r="K141" s="10">
        <f>COUNTIF('Survey Responses'!F:F, F141)</f>
        <v/>
      </c>
    </row>
    <row r="142">
      <c r="A142" s="10" t="n">
        <v>141</v>
      </c>
      <c r="B142" s="11" t="inlineStr">
        <is>
          <t>Kushtia (GEN-A)</t>
        </is>
      </c>
      <c r="C142" s="11" t="inlineStr">
        <is>
          <t>Mr. Meer Mosfeq-Us-Saleheen</t>
        </is>
      </c>
      <c r="D142" s="11" t="inlineStr">
        <is>
          <t>Ishwardi GEN-A-1</t>
        </is>
      </c>
      <c r="E142" s="11" t="inlineStr">
        <is>
          <t>Mr. Md. Abdul Latif Roni</t>
        </is>
      </c>
      <c r="F142" s="10" t="n">
        <v>10292</v>
      </c>
      <c r="G142" s="11" t="inlineStr">
        <is>
          <t>Doyarampur</t>
        </is>
      </c>
      <c r="H142" s="10" t="n">
        <v>5620</v>
      </c>
      <c r="I142" s="11" t="inlineStr">
        <is>
          <t>Mr. Shakil Ahmed</t>
        </is>
      </c>
      <c r="J142" s="10">
        <f>IF(K142&gt;0, "Completed", "Pending")</f>
        <v/>
      </c>
      <c r="K142" s="10">
        <f>COUNTIF('Survey Responses'!F:F, F142)</f>
        <v/>
      </c>
    </row>
    <row r="143">
      <c r="A143" s="10" t="n">
        <v>142</v>
      </c>
      <c r="B143" s="11" t="inlineStr">
        <is>
          <t>Kushtia (GEN-A)</t>
        </is>
      </c>
      <c r="C143" s="11" t="inlineStr">
        <is>
          <t>Mr. Meer Mosfeq-Us-Saleheen</t>
        </is>
      </c>
      <c r="D143" s="11" t="inlineStr">
        <is>
          <t>Ishwardi GEN-A-1</t>
        </is>
      </c>
      <c r="E143" s="11" t="inlineStr">
        <is>
          <t>Mr. Md. Abdul Latif Roni</t>
        </is>
      </c>
      <c r="F143" s="10" t="n">
        <v>14906</v>
      </c>
      <c r="G143" s="11" t="inlineStr">
        <is>
          <t>Doyarampur-2</t>
        </is>
      </c>
      <c r="H143" s="10" t="n">
        <v>5024</v>
      </c>
      <c r="I143" s="11" t="inlineStr">
        <is>
          <t>Mr. Md. Rasheduzzaman</t>
        </is>
      </c>
      <c r="J143" s="10">
        <f>IF(K143&gt;0, "Completed", "Pending")</f>
        <v/>
      </c>
      <c r="K143" s="10">
        <f>COUNTIF('Survey Responses'!F:F, F143)</f>
        <v/>
      </c>
    </row>
    <row r="144">
      <c r="A144" s="10" t="n">
        <v>143</v>
      </c>
      <c r="B144" s="11" t="inlineStr">
        <is>
          <t>Kushtia (GEN-A)</t>
        </is>
      </c>
      <c r="C144" s="11" t="inlineStr">
        <is>
          <t>Mr. Meer Mosfeq-Us-Saleheen</t>
        </is>
      </c>
      <c r="D144" s="11" t="inlineStr">
        <is>
          <t>Ishwardi GEN-A-1</t>
        </is>
      </c>
      <c r="E144" s="11" t="inlineStr">
        <is>
          <t>Mr. Md. Abdul Latif Roni</t>
        </is>
      </c>
      <c r="F144" s="10" t="n">
        <v>10293</v>
      </c>
      <c r="G144" s="11" t="inlineStr">
        <is>
          <t>Ishwardi-1</t>
        </is>
      </c>
      <c r="H144" s="10" t="n">
        <v>2467</v>
      </c>
      <c r="I144" s="11" t="inlineStr">
        <is>
          <t>Md. Abdur Rahim</t>
        </is>
      </c>
      <c r="J144" s="10">
        <f>IF(K144&gt;0, "Completed", "Pending")</f>
        <v/>
      </c>
      <c r="K144" s="10">
        <f>COUNTIF('Survey Responses'!F:F, F144)</f>
        <v/>
      </c>
    </row>
    <row r="145">
      <c r="A145" s="10" t="n">
        <v>144</v>
      </c>
      <c r="B145" s="11" t="inlineStr">
        <is>
          <t>Kushtia (GEN-A)</t>
        </is>
      </c>
      <c r="C145" s="11" t="inlineStr">
        <is>
          <t>Mr. Meer Mosfeq-Us-Saleheen</t>
        </is>
      </c>
      <c r="D145" s="11" t="inlineStr">
        <is>
          <t>Ishwardi GEN-A-1</t>
        </is>
      </c>
      <c r="E145" s="11" t="inlineStr">
        <is>
          <t>Mr. Md. Abdul Latif Roni</t>
        </is>
      </c>
      <c r="F145" s="10" t="n">
        <v>10294</v>
      </c>
      <c r="G145" s="11" t="inlineStr">
        <is>
          <t>Ishwardi-2</t>
        </is>
      </c>
      <c r="H145" s="10" t="n">
        <v>3989</v>
      </c>
      <c r="I145" s="11" t="inlineStr">
        <is>
          <t>Mr. Md. Golap Hossain</t>
        </is>
      </c>
      <c r="J145" s="10">
        <f>IF(K145&gt;0, "Completed", "Pending")</f>
        <v/>
      </c>
      <c r="K145" s="10">
        <f>COUNTIF('Survey Responses'!F:F, F145)</f>
        <v/>
      </c>
    </row>
    <row r="146">
      <c r="A146" s="10" t="n">
        <v>145</v>
      </c>
      <c r="B146" s="11" t="inlineStr">
        <is>
          <t>Kushtia (GEN-A)</t>
        </is>
      </c>
      <c r="C146" s="11" t="inlineStr">
        <is>
          <t>Mr. Meer Mosfeq-Us-Saleheen</t>
        </is>
      </c>
      <c r="D146" s="11" t="inlineStr">
        <is>
          <t>Ishwardi GEN-A-1</t>
        </is>
      </c>
      <c r="E146" s="11" t="inlineStr">
        <is>
          <t>Mr. Md. Abdul Latif Roni</t>
        </is>
      </c>
      <c r="F146" s="10" t="n">
        <v>10295</v>
      </c>
      <c r="G146" s="11" t="inlineStr">
        <is>
          <t>Ishwardi-3</t>
        </is>
      </c>
      <c r="H146" s="10" t="n">
        <v>1665</v>
      </c>
      <c r="I146" s="11" t="inlineStr">
        <is>
          <t>Mr. Abdur Rowf</t>
        </is>
      </c>
      <c r="J146" s="10">
        <f>IF(K146&gt;0, "Completed", "Pending")</f>
        <v/>
      </c>
      <c r="K146" s="10">
        <f>COUNTIF('Survey Responses'!F:F, F146)</f>
        <v/>
      </c>
    </row>
    <row r="147">
      <c r="A147" s="10" t="n">
        <v>146</v>
      </c>
      <c r="B147" s="11" t="inlineStr">
        <is>
          <t>Kushtia (GEN-A)</t>
        </is>
      </c>
      <c r="C147" s="11" t="inlineStr">
        <is>
          <t>Mr. Meer Mosfeq-Us-Saleheen</t>
        </is>
      </c>
      <c r="D147" s="11" t="inlineStr">
        <is>
          <t>Ishwardi GEN-A-1</t>
        </is>
      </c>
      <c r="E147" s="11" t="inlineStr">
        <is>
          <t>Mr. Md. Abdul Latif Roni</t>
        </is>
      </c>
      <c r="F147" s="10" t="n">
        <v>14608</v>
      </c>
      <c r="G147" s="11" t="inlineStr">
        <is>
          <t>Ishwardi-4</t>
        </is>
      </c>
      <c r="H147" s="10" t="n">
        <v>7681</v>
      </c>
      <c r="I147" s="11" t="inlineStr">
        <is>
          <t>Mr. Anik Hassan Mim</t>
        </is>
      </c>
      <c r="J147" s="10">
        <f>IF(K147&gt;0, "Completed", "Pending")</f>
        <v/>
      </c>
      <c r="K147" s="10">
        <f>COUNTIF('Survey Responses'!F:F, F147)</f>
        <v/>
      </c>
    </row>
    <row r="148">
      <c r="A148" s="10" t="n">
        <v>147</v>
      </c>
      <c r="B148" s="11" t="inlineStr">
        <is>
          <t>Kushtia (GEN-A)</t>
        </is>
      </c>
      <c r="C148" s="11" t="inlineStr">
        <is>
          <t>Mr. Meer Mosfeq-Us-Saleheen</t>
        </is>
      </c>
      <c r="D148" s="11" t="inlineStr">
        <is>
          <t>Ishwardi GEN-A-1</t>
        </is>
      </c>
      <c r="E148" s="11" t="inlineStr">
        <is>
          <t>Mr. Md. Abdul Latif Roni</t>
        </is>
      </c>
      <c r="F148" s="10" t="n">
        <v>10297</v>
      </c>
      <c r="G148" s="11" t="inlineStr">
        <is>
          <t>Lalpur-1</t>
        </is>
      </c>
      <c r="H148" s="10" t="n">
        <v>731</v>
      </c>
      <c r="I148" s="11" t="inlineStr">
        <is>
          <t>Md. Shahinur Islam</t>
        </is>
      </c>
      <c r="J148" s="10">
        <f>IF(K148&gt;0, "Completed", "Pending")</f>
        <v/>
      </c>
      <c r="K148" s="10">
        <f>COUNTIF('Survey Responses'!F:F, F148)</f>
        <v/>
      </c>
    </row>
    <row r="149">
      <c r="A149" s="10" t="n">
        <v>148</v>
      </c>
      <c r="B149" s="11" t="inlineStr">
        <is>
          <t>Kushtia (GEN-A)</t>
        </is>
      </c>
      <c r="C149" s="11" t="inlineStr">
        <is>
          <t>Mr. Meer Mosfeq-Us-Saleheen</t>
        </is>
      </c>
      <c r="D149" s="11" t="inlineStr">
        <is>
          <t>Ishwardi GEN-A-1</t>
        </is>
      </c>
      <c r="E149" s="11" t="inlineStr">
        <is>
          <t>Mr. Md. Abdul Latif Roni</t>
        </is>
      </c>
      <c r="F149" s="10" t="n">
        <v>14149</v>
      </c>
      <c r="G149" s="11" t="inlineStr">
        <is>
          <t>Lalpur-2</t>
        </is>
      </c>
      <c r="H149" s="10" t="n">
        <v>7494</v>
      </c>
      <c r="I149" s="11" t="inlineStr">
        <is>
          <t>Mr. Jamil Mahmud</t>
        </is>
      </c>
      <c r="J149" s="10">
        <f>IF(K149&gt;0, "Completed", "Pending")</f>
        <v/>
      </c>
      <c r="K149" s="10">
        <f>COUNTIF('Survey Responses'!F:F, F149)</f>
        <v/>
      </c>
    </row>
    <row r="150">
      <c r="A150" s="10" t="n">
        <v>149</v>
      </c>
      <c r="B150" s="11" t="inlineStr">
        <is>
          <t>Kushtia (GEN-A)</t>
        </is>
      </c>
      <c r="C150" s="11" t="inlineStr">
        <is>
          <t>Mr. Meer Mosfeq-Us-Saleheen</t>
        </is>
      </c>
      <c r="D150" s="11" t="inlineStr">
        <is>
          <t>Kushtia GEN-A-1</t>
        </is>
      </c>
      <c r="E150" s="11" t="inlineStr">
        <is>
          <t>Mr. Habibur Rahaman</t>
        </is>
      </c>
      <c r="F150" s="10" t="n">
        <v>10303</v>
      </c>
      <c r="G150" s="11" t="inlineStr">
        <is>
          <t>Kushtia-1</t>
        </is>
      </c>
      <c r="H150" s="10" t="n">
        <v>1271</v>
      </c>
      <c r="I150" s="11" t="inlineStr">
        <is>
          <t>Md. Zahidul Islam</t>
        </is>
      </c>
      <c r="J150" s="10">
        <f>IF(K150&gt;0, "Completed", "Pending")</f>
        <v/>
      </c>
      <c r="K150" s="10">
        <f>COUNTIF('Survey Responses'!F:F, F150)</f>
        <v/>
      </c>
    </row>
    <row r="151">
      <c r="A151" s="10" t="n">
        <v>150</v>
      </c>
      <c r="B151" s="11" t="inlineStr">
        <is>
          <t>Kushtia (GEN-A)</t>
        </is>
      </c>
      <c r="C151" s="11" t="inlineStr">
        <is>
          <t>Mr. Meer Mosfeq-Us-Saleheen</t>
        </is>
      </c>
      <c r="D151" s="11" t="inlineStr">
        <is>
          <t>Kushtia GEN-A-1</t>
        </is>
      </c>
      <c r="E151" s="11" t="inlineStr">
        <is>
          <t>Mr. Habibur Rahaman</t>
        </is>
      </c>
      <c r="F151" s="10" t="n">
        <v>10313</v>
      </c>
      <c r="G151" s="11" t="inlineStr">
        <is>
          <t>Kushtia-3</t>
        </is>
      </c>
      <c r="H151" s="10" t="n">
        <v>2478</v>
      </c>
      <c r="I151" s="11" t="inlineStr">
        <is>
          <t>Mr. S.M.Golam Morsalin</t>
        </is>
      </c>
      <c r="J151" s="10">
        <f>IF(K151&gt;0, "Completed", "Pending")</f>
        <v/>
      </c>
      <c r="K151" s="10">
        <f>COUNTIF('Survey Responses'!F:F, F151)</f>
        <v/>
      </c>
    </row>
    <row r="152">
      <c r="A152" s="10" t="n">
        <v>151</v>
      </c>
      <c r="B152" s="11" t="inlineStr">
        <is>
          <t>Kushtia (GEN-A)</t>
        </is>
      </c>
      <c r="C152" s="11" t="inlineStr">
        <is>
          <t>Mr. Meer Mosfeq-Us-Saleheen</t>
        </is>
      </c>
      <c r="D152" s="11" t="inlineStr">
        <is>
          <t>Kushtia GEN-A-1</t>
        </is>
      </c>
      <c r="E152" s="11" t="inlineStr">
        <is>
          <t>Mr. Habibur Rahaman</t>
        </is>
      </c>
      <c r="F152" s="10" t="n">
        <v>10314</v>
      </c>
      <c r="G152" s="11" t="inlineStr">
        <is>
          <t>Kushtia-5</t>
        </is>
      </c>
      <c r="H152" s="10" t="n">
        <v>2312</v>
      </c>
      <c r="I152" s="11" t="inlineStr">
        <is>
          <t>Md. Nahid Hossain</t>
        </is>
      </c>
      <c r="J152" s="10">
        <f>IF(K152&gt;0, "Completed", "Pending")</f>
        <v/>
      </c>
      <c r="K152" s="10">
        <f>COUNTIF('Survey Responses'!F:F, F152)</f>
        <v/>
      </c>
    </row>
    <row r="153">
      <c r="A153" s="10" t="n">
        <v>152</v>
      </c>
      <c r="B153" s="11" t="inlineStr">
        <is>
          <t>Kushtia (GEN-A)</t>
        </is>
      </c>
      <c r="C153" s="11" t="inlineStr">
        <is>
          <t>Mr. Meer Mosfeq-Us-Saleheen</t>
        </is>
      </c>
      <c r="D153" s="11" t="inlineStr">
        <is>
          <t>Kushtia GEN-A-1</t>
        </is>
      </c>
      <c r="E153" s="11" t="inlineStr">
        <is>
          <t>Mr. Habibur Rahaman</t>
        </is>
      </c>
      <c r="F153" s="10" t="n">
        <v>12905</v>
      </c>
      <c r="G153" s="11" t="inlineStr">
        <is>
          <t>Kushtia-6</t>
        </is>
      </c>
      <c r="H153" s="10" t="n">
        <v>5077</v>
      </c>
      <c r="I153" s="11" t="inlineStr">
        <is>
          <t>Mr. Md. Refat Islam</t>
        </is>
      </c>
      <c r="J153" s="10">
        <f>IF(K153&gt;0, "Completed", "Pending")</f>
        <v/>
      </c>
      <c r="K153" s="10">
        <f>COUNTIF('Survey Responses'!F:F, F153)</f>
        <v/>
      </c>
    </row>
    <row r="154">
      <c r="A154" s="10" t="n">
        <v>153</v>
      </c>
      <c r="B154" s="11" t="inlineStr">
        <is>
          <t>Kushtia (GEN-A)</t>
        </is>
      </c>
      <c r="C154" s="11" t="inlineStr">
        <is>
          <t>Mr. Meer Mosfeq-Us-Saleheen</t>
        </is>
      </c>
      <c r="D154" s="11" t="inlineStr">
        <is>
          <t>Kushtia GEN-A-1</t>
        </is>
      </c>
      <c r="E154" s="11" t="inlineStr">
        <is>
          <t>Mr. Habibur Rahaman</t>
        </is>
      </c>
      <c r="F154" s="10" t="n">
        <v>14825</v>
      </c>
      <c r="G154" s="11" t="inlineStr">
        <is>
          <t>Kushtia-8</t>
        </is>
      </c>
      <c r="H154" s="10" t="n">
        <v>8847</v>
      </c>
      <c r="I154" s="11" t="inlineStr">
        <is>
          <t>Mr. Pobittra Biswas</t>
        </is>
      </c>
      <c r="J154" s="10">
        <f>IF(K154&gt;0, "Completed", "Pending")</f>
        <v/>
      </c>
      <c r="K154" s="10">
        <f>COUNTIF('Survey Responses'!F:F, F154)</f>
        <v/>
      </c>
    </row>
    <row r="155">
      <c r="A155" s="10" t="n">
        <v>154</v>
      </c>
      <c r="B155" s="11" t="inlineStr">
        <is>
          <t>Kushtia (GEN-A)</t>
        </is>
      </c>
      <c r="C155" s="11" t="inlineStr">
        <is>
          <t>Mr. Meer Mosfeq-Us-Saleheen</t>
        </is>
      </c>
      <c r="D155" s="11" t="inlineStr">
        <is>
          <t>Kushtia GEN-A-1</t>
        </is>
      </c>
      <c r="E155" s="11" t="inlineStr">
        <is>
          <t>Mr. Habibur Rahaman</t>
        </is>
      </c>
      <c r="F155" s="10" t="n">
        <v>10315</v>
      </c>
      <c r="G155" s="11" t="inlineStr">
        <is>
          <t>Mirpur-Kushtia-1</t>
        </is>
      </c>
      <c r="H155" s="10" t="n">
        <v>7505</v>
      </c>
      <c r="I155" s="11" t="inlineStr">
        <is>
          <t>Mr. Md. Mahmudul Hasan</t>
        </is>
      </c>
      <c r="J155" s="10">
        <f>IF(K155&gt;0, "Completed", "Pending")</f>
        <v/>
      </c>
      <c r="K155" s="10">
        <f>COUNTIF('Survey Responses'!F:F, F155)</f>
        <v/>
      </c>
    </row>
    <row r="156">
      <c r="A156" s="10" t="n">
        <v>155</v>
      </c>
      <c r="B156" s="11" t="inlineStr">
        <is>
          <t>Kushtia (GEN-A)</t>
        </is>
      </c>
      <c r="C156" s="11" t="inlineStr">
        <is>
          <t>Mr. Meer Mosfeq-Us-Saleheen</t>
        </is>
      </c>
      <c r="D156" s="11" t="inlineStr">
        <is>
          <t>Kushtia GEN-A-1</t>
        </is>
      </c>
      <c r="E156" s="11" t="inlineStr">
        <is>
          <t>Mr. Habibur Rahaman</t>
        </is>
      </c>
      <c r="F156" s="10" t="n">
        <v>14645</v>
      </c>
      <c r="G156" s="11" t="inlineStr">
        <is>
          <t>Mirpur-Kushtia-2</t>
        </is>
      </c>
      <c r="H156" s="10" t="n">
        <v>8302</v>
      </c>
      <c r="I156" s="11" t="inlineStr">
        <is>
          <t>Mr. Md. Yeakub Ali</t>
        </is>
      </c>
      <c r="J156" s="10">
        <f>IF(K156&gt;0, "Completed", "Pending")</f>
        <v/>
      </c>
      <c r="K156" s="10">
        <f>COUNTIF('Survey Responses'!F:F, F156)</f>
        <v/>
      </c>
    </row>
    <row r="157">
      <c r="A157" s="10" t="n">
        <v>156</v>
      </c>
      <c r="B157" s="11" t="inlineStr">
        <is>
          <t>Kushtia (GEN-A)</t>
        </is>
      </c>
      <c r="C157" s="11" t="inlineStr">
        <is>
          <t>Mr. Meer Mosfeq-Us-Saleheen</t>
        </is>
      </c>
      <c r="D157" s="11" t="inlineStr">
        <is>
          <t>Kushtia GEN-A-2</t>
        </is>
      </c>
      <c r="E157" s="11" t="inlineStr">
        <is>
          <t>Mr. Md. Mahmudunnabi</t>
        </is>
      </c>
      <c r="F157" s="10" t="n">
        <v>12541</v>
      </c>
      <c r="G157" s="11" t="inlineStr">
        <is>
          <t>Horinarayonpur-1</t>
        </is>
      </c>
      <c r="H157" s="10" t="n">
        <v>5928</v>
      </c>
      <c r="I157" s="11" t="inlineStr">
        <is>
          <t>Mr. Ashraful Islam</t>
        </is>
      </c>
      <c r="J157" s="10">
        <f>IF(K157&gt;0, "Completed", "Pending")</f>
        <v/>
      </c>
      <c r="K157" s="10">
        <f>COUNTIF('Survey Responses'!F:F, F157)</f>
        <v/>
      </c>
    </row>
    <row r="158">
      <c r="A158" s="10" t="n">
        <v>157</v>
      </c>
      <c r="B158" s="11" t="inlineStr">
        <is>
          <t>Kushtia (GEN-A)</t>
        </is>
      </c>
      <c r="C158" s="11" t="inlineStr">
        <is>
          <t>Mr. Meer Mosfeq-Us-Saleheen</t>
        </is>
      </c>
      <c r="D158" s="11" t="inlineStr">
        <is>
          <t>Kushtia GEN-A-2</t>
        </is>
      </c>
      <c r="E158" s="11" t="inlineStr">
        <is>
          <t>Mr. Md. Mahmudunnabi</t>
        </is>
      </c>
      <c r="F158" s="10" t="n">
        <v>12284</v>
      </c>
      <c r="G158" s="11" t="inlineStr">
        <is>
          <t>Khoksa-1</t>
        </is>
      </c>
      <c r="H158" s="10" t="n">
        <v>3663</v>
      </c>
      <c r="I158" s="11" t="inlineStr">
        <is>
          <t>Mr. Md. Faisalul Haque</t>
        </is>
      </c>
      <c r="J158" s="10">
        <f>IF(K158&gt;0, "Completed", "Pending")</f>
        <v/>
      </c>
      <c r="K158" s="10">
        <f>COUNTIF('Survey Responses'!F:F, F158)</f>
        <v/>
      </c>
    </row>
    <row r="159">
      <c r="A159" s="10" t="n">
        <v>158</v>
      </c>
      <c r="B159" s="11" t="inlineStr">
        <is>
          <t>Kushtia (GEN-A)</t>
        </is>
      </c>
      <c r="C159" s="11" t="inlineStr">
        <is>
          <t>Mr. Meer Mosfeq-Us-Saleheen</t>
        </is>
      </c>
      <c r="D159" s="11" t="inlineStr">
        <is>
          <t>Kushtia GEN-A-2</t>
        </is>
      </c>
      <c r="E159" s="11" t="inlineStr">
        <is>
          <t>Mr. Md. Mahmudunnabi</t>
        </is>
      </c>
      <c r="F159" s="10" t="n">
        <v>10307</v>
      </c>
      <c r="G159" s="11" t="inlineStr">
        <is>
          <t>Kumarkhali</t>
        </is>
      </c>
      <c r="H159" s="10" t="n">
        <v>2175</v>
      </c>
      <c r="I159" s="11" t="inlineStr">
        <is>
          <t>Md. Shakul Islam</t>
        </is>
      </c>
      <c r="J159" s="10">
        <f>IF(K159&gt;0, "Completed", "Pending")</f>
        <v/>
      </c>
      <c r="K159" s="10">
        <f>COUNTIF('Survey Responses'!F:F, F159)</f>
        <v/>
      </c>
    </row>
    <row r="160">
      <c r="A160" s="10" t="n">
        <v>159</v>
      </c>
      <c r="B160" s="11" t="inlineStr">
        <is>
          <t>Kushtia (GEN-A)</t>
        </is>
      </c>
      <c r="C160" s="11" t="inlineStr">
        <is>
          <t>Mr. Meer Mosfeq-Us-Saleheen</t>
        </is>
      </c>
      <c r="D160" s="11" t="inlineStr">
        <is>
          <t>Kushtia GEN-A-2</t>
        </is>
      </c>
      <c r="E160" s="11" t="inlineStr">
        <is>
          <t>Mr. Md. Mahmudunnabi</t>
        </is>
      </c>
      <c r="F160" s="10" t="n">
        <v>13643</v>
      </c>
      <c r="G160" s="11" t="inlineStr">
        <is>
          <t>Kumarkhali-2</t>
        </is>
      </c>
      <c r="H160" s="10" t="n">
        <v>7274</v>
      </c>
      <c r="I160" s="11" t="inlineStr">
        <is>
          <t>Mr. Kanon Mia</t>
        </is>
      </c>
      <c r="J160" s="10">
        <f>IF(K160&gt;0, "Completed", "Pending")</f>
        <v/>
      </c>
      <c r="K160" s="10">
        <f>COUNTIF('Survey Responses'!F:F, F160)</f>
        <v/>
      </c>
    </row>
    <row r="161">
      <c r="A161" s="10" t="n">
        <v>160</v>
      </c>
      <c r="B161" s="11" t="inlineStr">
        <is>
          <t>Kushtia (GEN-A)</t>
        </is>
      </c>
      <c r="C161" s="11" t="inlineStr">
        <is>
          <t>Mr. Meer Mosfeq-Us-Saleheen</t>
        </is>
      </c>
      <c r="D161" s="11" t="inlineStr">
        <is>
          <t>Kushtia GEN-A-2</t>
        </is>
      </c>
      <c r="E161" s="11" t="inlineStr">
        <is>
          <t>Mr. Md. Mahmudunnabi</t>
        </is>
      </c>
      <c r="F161" s="10" t="n">
        <v>14607</v>
      </c>
      <c r="G161" s="11" t="inlineStr">
        <is>
          <t>Kushtia -7</t>
        </is>
      </c>
      <c r="H161" s="10" t="n">
        <v>7694</v>
      </c>
      <c r="I161" s="11" t="inlineStr">
        <is>
          <t>Mr. Md. Nasir Uddin</t>
        </is>
      </c>
      <c r="J161" s="10">
        <f>IF(K161&gt;0, "Completed", "Pending")</f>
        <v/>
      </c>
      <c r="K161" s="10">
        <f>COUNTIF('Survey Responses'!F:F, F161)</f>
        <v/>
      </c>
    </row>
    <row r="162">
      <c r="A162" s="10" t="n">
        <v>161</v>
      </c>
      <c r="B162" s="11" t="inlineStr">
        <is>
          <t>Kushtia (GEN-A)</t>
        </is>
      </c>
      <c r="C162" s="11" t="inlineStr">
        <is>
          <t>Mr. Meer Mosfeq-Us-Saleheen</t>
        </is>
      </c>
      <c r="D162" s="11" t="inlineStr">
        <is>
          <t>Kushtia GEN-A-2</t>
        </is>
      </c>
      <c r="E162" s="11" t="inlineStr">
        <is>
          <t>Mr. Md. Mahmudunnabi</t>
        </is>
      </c>
      <c r="F162" s="10" t="n">
        <v>10309</v>
      </c>
      <c r="G162" s="11" t="inlineStr">
        <is>
          <t>Kushtia-2</t>
        </is>
      </c>
      <c r="H162" s="10" t="n">
        <v>1319</v>
      </c>
      <c r="I162" s="11" t="inlineStr">
        <is>
          <t>Md. Salimuzzaman Sarker</t>
        </is>
      </c>
      <c r="J162" s="10">
        <f>IF(K162&gt;0, "Completed", "Pending")</f>
        <v/>
      </c>
      <c r="K162" s="10">
        <f>COUNTIF('Survey Responses'!F:F, F162)</f>
        <v/>
      </c>
    </row>
    <row r="163">
      <c r="A163" s="10" t="n">
        <v>162</v>
      </c>
      <c r="B163" s="11" t="inlineStr">
        <is>
          <t>Kushtia (GEN-A)</t>
        </is>
      </c>
      <c r="C163" s="11" t="inlineStr">
        <is>
          <t>Mr. Meer Mosfeq-Us-Saleheen</t>
        </is>
      </c>
      <c r="D163" s="11" t="inlineStr">
        <is>
          <t>Kushtia GEN-A-2</t>
        </is>
      </c>
      <c r="E163" s="11" t="inlineStr">
        <is>
          <t>Mr. Md. Mahmudunnabi</t>
        </is>
      </c>
      <c r="F163" s="10" t="n">
        <v>10308</v>
      </c>
      <c r="G163" s="11" t="inlineStr">
        <is>
          <t>Kushtia-4</t>
        </is>
      </c>
      <c r="H163" s="10" t="n">
        <v>7427</v>
      </c>
      <c r="I163" s="11" t="inlineStr">
        <is>
          <t>Mr. Alif Sagor</t>
        </is>
      </c>
      <c r="J163" s="10">
        <f>IF(K163&gt;0, "Completed", "Pending")</f>
        <v/>
      </c>
      <c r="K163" s="10">
        <f>COUNTIF('Survey Responses'!F:F, F163)</f>
        <v/>
      </c>
    </row>
    <row r="164">
      <c r="A164" s="10" t="n">
        <v>163</v>
      </c>
      <c r="B164" s="11" t="inlineStr">
        <is>
          <t>Kushtia (GEN-A)</t>
        </is>
      </c>
      <c r="C164" s="11" t="inlineStr">
        <is>
          <t>Mr. Meer Mosfeq-Us-Saleheen</t>
        </is>
      </c>
      <c r="D164" s="11" t="inlineStr">
        <is>
          <t>Pabna GEN-A-1</t>
        </is>
      </c>
      <c r="E164" s="11" t="inlineStr">
        <is>
          <t>Mr. Md. Sultan Mahmud</t>
        </is>
      </c>
      <c r="F164" s="10" t="n">
        <v>13188</v>
      </c>
      <c r="G164" s="11" t="inlineStr">
        <is>
          <t>Ataikula-1</t>
        </is>
      </c>
      <c r="H164" s="10" t="n">
        <v>6384</v>
      </c>
      <c r="I164" s="11" t="inlineStr">
        <is>
          <t>Mr. Md. Shorif Ahmmed</t>
        </is>
      </c>
      <c r="J164" s="10">
        <f>IF(K164&gt;0, "Completed", "Pending")</f>
        <v/>
      </c>
      <c r="K164" s="10">
        <f>COUNTIF('Survey Responses'!F:F, F164)</f>
        <v/>
      </c>
    </row>
    <row r="165">
      <c r="A165" s="10" t="n">
        <v>164</v>
      </c>
      <c r="B165" s="11" t="inlineStr">
        <is>
          <t>Kushtia (GEN-A)</t>
        </is>
      </c>
      <c r="C165" s="11" t="inlineStr">
        <is>
          <t>Mr. Meer Mosfeq-Us-Saleheen</t>
        </is>
      </c>
      <c r="D165" s="11" t="inlineStr">
        <is>
          <t>Pabna GEN-A-1</t>
        </is>
      </c>
      <c r="E165" s="11" t="inlineStr">
        <is>
          <t>Mr. Md. Sultan Mahmud</t>
        </is>
      </c>
      <c r="F165" s="10" t="n">
        <v>12354</v>
      </c>
      <c r="G165" s="11" t="inlineStr">
        <is>
          <t>Faridpur-Pabna</t>
        </is>
      </c>
      <c r="H165" s="10" t="n">
        <v>3737</v>
      </c>
      <c r="I165" s="11" t="inlineStr">
        <is>
          <t>Mr. Md. Musleh Uddin</t>
        </is>
      </c>
      <c r="J165" s="10">
        <f>IF(K165&gt;0, "Completed", "Pending")</f>
        <v/>
      </c>
      <c r="K165" s="10">
        <f>COUNTIF('Survey Responses'!F:F, F165)</f>
        <v/>
      </c>
    </row>
    <row r="166">
      <c r="A166" s="10" t="n">
        <v>165</v>
      </c>
      <c r="B166" s="11" t="inlineStr">
        <is>
          <t>Kushtia (GEN-A)</t>
        </is>
      </c>
      <c r="C166" s="11" t="inlineStr">
        <is>
          <t>Mr. Meer Mosfeq-Us-Saleheen</t>
        </is>
      </c>
      <c r="D166" s="11" t="inlineStr">
        <is>
          <t>Pabna GEN-A-1</t>
        </is>
      </c>
      <c r="E166" s="11" t="inlineStr">
        <is>
          <t>Mr. Md. Sultan Mahmud</t>
        </is>
      </c>
      <c r="F166" s="10" t="n">
        <v>10283</v>
      </c>
      <c r="G166" s="11" t="inlineStr">
        <is>
          <t>Pabna-1</t>
        </is>
      </c>
      <c r="H166" s="10" t="n">
        <v>8732</v>
      </c>
      <c r="I166" s="11" t="inlineStr">
        <is>
          <t>Mr. Mostakim Mohammad Ullas</t>
        </is>
      </c>
      <c r="J166" s="10">
        <f>IF(K166&gt;0, "Completed", "Pending")</f>
        <v/>
      </c>
      <c r="K166" s="10">
        <f>COUNTIF('Survey Responses'!F:F, F166)</f>
        <v/>
      </c>
    </row>
    <row r="167">
      <c r="A167" s="10" t="n">
        <v>166</v>
      </c>
      <c r="B167" s="11" t="inlineStr">
        <is>
          <t>Kushtia (GEN-A)</t>
        </is>
      </c>
      <c r="C167" s="11" t="inlineStr">
        <is>
          <t>Mr. Meer Mosfeq-Us-Saleheen</t>
        </is>
      </c>
      <c r="D167" s="11" t="inlineStr">
        <is>
          <t>Pabna GEN-A-1</t>
        </is>
      </c>
      <c r="E167" s="11" t="inlineStr">
        <is>
          <t>Mr. Md. Sultan Mahmud</t>
        </is>
      </c>
      <c r="F167" s="10" t="n">
        <v>10291</v>
      </c>
      <c r="G167" s="11" t="inlineStr">
        <is>
          <t>Pabna-2</t>
        </is>
      </c>
      <c r="H167" s="10" t="n">
        <v>6963</v>
      </c>
      <c r="I167" s="11" t="inlineStr">
        <is>
          <t>Mr. Md. Rukunuzzaman</t>
        </is>
      </c>
      <c r="J167" s="10">
        <f>IF(K167&gt;0, "Completed", "Pending")</f>
        <v/>
      </c>
      <c r="K167" s="10">
        <f>COUNTIF('Survey Responses'!F:F, F167)</f>
        <v/>
      </c>
    </row>
    <row r="168">
      <c r="A168" s="10" t="n">
        <v>167</v>
      </c>
      <c r="B168" s="11" t="inlineStr">
        <is>
          <t>Kushtia (GEN-A)</t>
        </is>
      </c>
      <c r="C168" s="11" t="inlineStr">
        <is>
          <t>Mr. Meer Mosfeq-Us-Saleheen</t>
        </is>
      </c>
      <c r="D168" s="11" t="inlineStr">
        <is>
          <t>Pabna GEN-A-1</t>
        </is>
      </c>
      <c r="E168" s="11" t="inlineStr">
        <is>
          <t>Mr. Md. Sultan Mahmud</t>
        </is>
      </c>
      <c r="F168" s="10" t="n">
        <v>10282</v>
      </c>
      <c r="G168" s="11" t="inlineStr">
        <is>
          <t>Pabna-4</t>
        </is>
      </c>
      <c r="H168" s="10" t="n">
        <v>1654</v>
      </c>
      <c r="I168" s="11" t="inlineStr">
        <is>
          <t>Md. Kamal Hossen</t>
        </is>
      </c>
      <c r="J168" s="10">
        <f>IF(K168&gt;0, "Completed", "Pending")</f>
        <v/>
      </c>
      <c r="K168" s="10">
        <f>COUNTIF('Survey Responses'!F:F, F168)</f>
        <v/>
      </c>
    </row>
    <row r="169">
      <c r="A169" s="10" t="n">
        <v>168</v>
      </c>
      <c r="B169" s="11" t="inlineStr">
        <is>
          <t>Kushtia (GEN-A)</t>
        </is>
      </c>
      <c r="C169" s="11" t="inlineStr">
        <is>
          <t>Mr. Meer Mosfeq-Us-Saleheen</t>
        </is>
      </c>
      <c r="D169" s="11" t="inlineStr">
        <is>
          <t>Pabna GEN-A-1</t>
        </is>
      </c>
      <c r="E169" s="11" t="inlineStr">
        <is>
          <t>Mr. Md. Sultan Mahmud</t>
        </is>
      </c>
      <c r="F169" s="10" t="n">
        <v>10290</v>
      </c>
      <c r="G169" s="11" t="inlineStr">
        <is>
          <t>Santhia-1</t>
        </is>
      </c>
      <c r="H169" s="10" t="n">
        <v>1347</v>
      </c>
      <c r="I169" s="11" t="inlineStr">
        <is>
          <t>Md. Shabuj Prodhan</t>
        </is>
      </c>
      <c r="J169" s="10">
        <f>IF(K169&gt;0, "Completed", "Pending")</f>
        <v/>
      </c>
      <c r="K169" s="10">
        <f>COUNTIF('Survey Responses'!F:F, F169)</f>
        <v/>
      </c>
    </row>
    <row r="170">
      <c r="A170" s="10" t="n">
        <v>169</v>
      </c>
      <c r="B170" s="11" t="inlineStr">
        <is>
          <t>Kushtia (GEN-A)</t>
        </is>
      </c>
      <c r="C170" s="11" t="inlineStr">
        <is>
          <t>Mr. Meer Mosfeq-Us-Saleheen</t>
        </is>
      </c>
      <c r="D170" s="11" t="inlineStr">
        <is>
          <t>Pabna GEN-A-1</t>
        </is>
      </c>
      <c r="E170" s="11" t="inlineStr">
        <is>
          <t>Mr. Md. Sultan Mahmud</t>
        </is>
      </c>
      <c r="F170" s="10" t="n">
        <v>14130</v>
      </c>
      <c r="G170" s="11" t="inlineStr">
        <is>
          <t>Santhia-2</t>
        </is>
      </c>
      <c r="H170" s="10" t="n">
        <v>7428</v>
      </c>
      <c r="I170" s="11" t="inlineStr">
        <is>
          <t>Mr. Md. Mynuddin</t>
        </is>
      </c>
      <c r="J170" s="10">
        <f>IF(K170&gt;0, "Completed", "Pending")</f>
        <v/>
      </c>
      <c r="K170" s="10">
        <f>COUNTIF('Survey Responses'!F:F, F170)</f>
        <v/>
      </c>
    </row>
    <row r="171">
      <c r="A171" s="10" t="n">
        <v>170</v>
      </c>
      <c r="B171" s="11" t="inlineStr">
        <is>
          <t>Kushtia (GEN-A)</t>
        </is>
      </c>
      <c r="C171" s="11" t="inlineStr">
        <is>
          <t>Mr. Meer Mosfeq-Us-Saleheen</t>
        </is>
      </c>
      <c r="D171" s="11" t="inlineStr">
        <is>
          <t>Pabna GEN-A-2</t>
        </is>
      </c>
      <c r="E171" s="11" t="inlineStr">
        <is>
          <t>Md. Asaduzzaman Siddique</t>
        </is>
      </c>
      <c r="F171" s="10" t="n">
        <v>10288</v>
      </c>
      <c r="G171" s="11" t="inlineStr">
        <is>
          <t>Pabna-3</t>
        </is>
      </c>
      <c r="H171" s="10" t="n">
        <v>3513</v>
      </c>
      <c r="I171" s="11" t="inlineStr">
        <is>
          <t>Mr. Md. Khayrul Alam</t>
        </is>
      </c>
      <c r="J171" s="10">
        <f>IF(K171&gt;0, "Completed", "Pending")</f>
        <v/>
      </c>
      <c r="K171" s="10">
        <f>COUNTIF('Survey Responses'!F:F, F171)</f>
        <v/>
      </c>
    </row>
    <row r="172">
      <c r="A172" s="10" t="n">
        <v>171</v>
      </c>
      <c r="B172" s="11" t="inlineStr">
        <is>
          <t>Kushtia (GEN-A)</t>
        </is>
      </c>
      <c r="C172" s="11" t="inlineStr">
        <is>
          <t>Mr. Meer Mosfeq-Us-Saleheen</t>
        </is>
      </c>
      <c r="D172" s="11" t="inlineStr">
        <is>
          <t>Pabna GEN-A-2</t>
        </is>
      </c>
      <c r="E172" s="11" t="inlineStr">
        <is>
          <t>Md. Asaduzzaman Siddique</t>
        </is>
      </c>
      <c r="F172" s="10" t="n">
        <v>10289</v>
      </c>
      <c r="G172" s="11" t="inlineStr">
        <is>
          <t>Pabna-5</t>
        </is>
      </c>
      <c r="H172" s="10" t="n">
        <v>8748</v>
      </c>
      <c r="I172" s="11" t="inlineStr">
        <is>
          <t>Mr. Sultan Mahmud</t>
        </is>
      </c>
      <c r="J172" s="10">
        <f>IF(K172&gt;0, "Completed", "Pending")</f>
        <v/>
      </c>
      <c r="K172" s="10">
        <f>COUNTIF('Survey Responses'!F:F, F172)</f>
        <v/>
      </c>
    </row>
    <row r="173">
      <c r="A173" s="10" t="n">
        <v>172</v>
      </c>
      <c r="B173" s="11" t="inlineStr">
        <is>
          <t>Kushtia (GEN-A)</t>
        </is>
      </c>
      <c r="C173" s="11" t="inlineStr">
        <is>
          <t>Mr. Meer Mosfeq-Us-Saleheen</t>
        </is>
      </c>
      <c r="D173" s="11" t="inlineStr">
        <is>
          <t>Pabna GEN-A-2</t>
        </is>
      </c>
      <c r="E173" s="11" t="inlineStr">
        <is>
          <t>Md. Asaduzzaman Siddique</t>
        </is>
      </c>
      <c r="F173" s="10" t="n">
        <v>10284</v>
      </c>
      <c r="G173" s="11" t="inlineStr">
        <is>
          <t>Pabna-6</t>
        </is>
      </c>
      <c r="H173" s="10" t="n">
        <v>8593</v>
      </c>
      <c r="I173" s="11" t="inlineStr">
        <is>
          <t>Mr. Md. Rasel Islam</t>
        </is>
      </c>
      <c r="J173" s="10">
        <f>IF(K173&gt;0, "Completed", "Pending")</f>
        <v/>
      </c>
      <c r="K173" s="10">
        <f>COUNTIF('Survey Responses'!F:F, F173)</f>
        <v/>
      </c>
    </row>
    <row r="174">
      <c r="A174" s="10" t="n">
        <v>173</v>
      </c>
      <c r="B174" s="11" t="inlineStr">
        <is>
          <t>Kushtia (GEN-A)</t>
        </is>
      </c>
      <c r="C174" s="11" t="inlineStr">
        <is>
          <t>Mr. Meer Mosfeq-Us-Saleheen</t>
        </is>
      </c>
      <c r="D174" s="11" t="inlineStr">
        <is>
          <t>Pabna GEN-A-2</t>
        </is>
      </c>
      <c r="E174" s="11" t="inlineStr">
        <is>
          <t>Md. Asaduzzaman Siddique</t>
        </is>
      </c>
      <c r="F174" s="10" t="n">
        <v>11818</v>
      </c>
      <c r="G174" s="11" t="inlineStr">
        <is>
          <t>Pabna-7</t>
        </is>
      </c>
      <c r="H174" s="10" t="n">
        <v>3280</v>
      </c>
      <c r="I174" s="11" t="inlineStr">
        <is>
          <t>Md. Golam Rabbani</t>
        </is>
      </c>
      <c r="J174" s="10">
        <f>IF(K174&gt;0, "Completed", "Pending")</f>
        <v/>
      </c>
      <c r="K174" s="10">
        <f>COUNTIF('Survey Responses'!F:F, F174)</f>
        <v/>
      </c>
    </row>
    <row r="175">
      <c r="A175" s="10" t="n">
        <v>174</v>
      </c>
      <c r="B175" s="11" t="inlineStr">
        <is>
          <t>Kushtia (GEN-A)</t>
        </is>
      </c>
      <c r="C175" s="11" t="inlineStr">
        <is>
          <t>Mr. Meer Mosfeq-Us-Saleheen</t>
        </is>
      </c>
      <c r="D175" s="11" t="inlineStr">
        <is>
          <t>Pabna GEN-A-2</t>
        </is>
      </c>
      <c r="E175" s="11" t="inlineStr">
        <is>
          <t>Md. Asaduzzaman Siddique</t>
        </is>
      </c>
      <c r="F175" s="10" t="n">
        <v>14150</v>
      </c>
      <c r="G175" s="11" t="inlineStr">
        <is>
          <t>Pabna-8</t>
        </is>
      </c>
      <c r="H175" s="10" t="n">
        <v>8405</v>
      </c>
      <c r="I175" s="11" t="inlineStr">
        <is>
          <t>Mr. Ikbal Hussain Tawhid</t>
        </is>
      </c>
      <c r="J175" s="10">
        <f>IF(K175&gt;0, "Completed", "Pending")</f>
        <v/>
      </c>
      <c r="K175" s="10">
        <f>COUNTIF('Survey Responses'!F:F, F175)</f>
        <v/>
      </c>
    </row>
    <row r="176">
      <c r="A176" s="10" t="n">
        <v>175</v>
      </c>
      <c r="B176" s="11" t="inlineStr">
        <is>
          <t>Kushtia (GEN-A)</t>
        </is>
      </c>
      <c r="C176" s="11" t="inlineStr">
        <is>
          <t>Mr. Meer Mosfeq-Us-Saleheen</t>
        </is>
      </c>
      <c r="D176" s="11" t="inlineStr">
        <is>
          <t>Pabna GEN-A-2</t>
        </is>
      </c>
      <c r="E176" s="11" t="inlineStr">
        <is>
          <t>Md. Asaduzzaman Siddique</t>
        </is>
      </c>
      <c r="F176" s="10" t="n">
        <v>10287</v>
      </c>
      <c r="G176" s="11" t="inlineStr">
        <is>
          <t>Sujanagar-1</t>
        </is>
      </c>
      <c r="H176" s="10" t="n">
        <v>1401</v>
      </c>
      <c r="I176" s="11" t="inlineStr">
        <is>
          <t>Md. Emdadul Haque</t>
        </is>
      </c>
      <c r="J176" s="10">
        <f>IF(K176&gt;0, "Completed", "Pending")</f>
        <v/>
      </c>
      <c r="K176" s="10">
        <f>COUNTIF('Survey Responses'!F:F, F176)</f>
        <v/>
      </c>
    </row>
    <row r="177">
      <c r="A177" s="10" t="n">
        <v>176</v>
      </c>
      <c r="B177" s="11" t="inlineStr">
        <is>
          <t>Kushtia (GEN-A)</t>
        </is>
      </c>
      <c r="C177" s="11" t="inlineStr">
        <is>
          <t>Mr. Meer Mosfeq-Us-Saleheen</t>
        </is>
      </c>
      <c r="D177" s="11" t="inlineStr">
        <is>
          <t>Pabna GEN-A-2</t>
        </is>
      </c>
      <c r="E177" s="11" t="inlineStr">
        <is>
          <t>Md. Asaduzzaman Siddique</t>
        </is>
      </c>
      <c r="F177" s="10" t="n">
        <v>12595</v>
      </c>
      <c r="G177" s="11" t="inlineStr">
        <is>
          <t>Sujanagar-2</t>
        </is>
      </c>
      <c r="H177" s="10" t="n">
        <v>5475</v>
      </c>
      <c r="I177" s="11" t="inlineStr">
        <is>
          <t>Mr. Md. Taufeeq Aziz</t>
        </is>
      </c>
      <c r="J177" s="10">
        <f>IF(K177&gt;0, "Completed", "Pending")</f>
        <v/>
      </c>
      <c r="K177" s="10">
        <f>COUNTIF('Survey Responses'!F:F, F177)</f>
        <v/>
      </c>
    </row>
    <row r="178">
      <c r="A178" s="10" t="n">
        <v>177</v>
      </c>
      <c r="B178" s="11" t="inlineStr">
        <is>
          <t>Kushtia (GEN-A)</t>
        </is>
      </c>
      <c r="C178" s="11" t="inlineStr">
        <is>
          <t>Mr. Meer Mosfeq-Us-Saleheen</t>
        </is>
      </c>
      <c r="D178" s="11" t="inlineStr">
        <is>
          <t>Shahzadpur GEN-A-1</t>
        </is>
      </c>
      <c r="E178" s="11" t="inlineStr">
        <is>
          <t>Md. Zahangir Alom</t>
        </is>
      </c>
      <c r="F178" s="10" t="n">
        <v>10300</v>
      </c>
      <c r="G178" s="11" t="inlineStr">
        <is>
          <t>Bera-1</t>
        </is>
      </c>
      <c r="H178" s="10" t="n">
        <v>5474</v>
      </c>
      <c r="I178" s="11" t="inlineStr">
        <is>
          <t>Mr. Md. Jahidul Islam</t>
        </is>
      </c>
      <c r="J178" s="10">
        <f>IF(K178&gt;0, "Completed", "Pending")</f>
        <v/>
      </c>
      <c r="K178" s="10">
        <f>COUNTIF('Survey Responses'!F:F, F178)</f>
        <v/>
      </c>
    </row>
    <row r="179">
      <c r="A179" s="10" t="n">
        <v>178</v>
      </c>
      <c r="B179" s="11" t="inlineStr">
        <is>
          <t>Kushtia (GEN-A)</t>
        </is>
      </c>
      <c r="C179" s="11" t="inlineStr">
        <is>
          <t>Mr. Meer Mosfeq-Us-Saleheen</t>
        </is>
      </c>
      <c r="D179" s="11" t="inlineStr">
        <is>
          <t>Shahzadpur GEN-A-1</t>
        </is>
      </c>
      <c r="E179" s="11" t="inlineStr">
        <is>
          <t>Md. Zahangir Alom</t>
        </is>
      </c>
      <c r="F179" s="10" t="n">
        <v>12402</v>
      </c>
      <c r="G179" s="11" t="inlineStr">
        <is>
          <t>Bera-2</t>
        </is>
      </c>
      <c r="H179" s="10" t="n">
        <v>8301</v>
      </c>
      <c r="I179" s="11" t="inlineStr">
        <is>
          <t>Mr. Khabir Hossen</t>
        </is>
      </c>
      <c r="J179" s="10">
        <f>IF(K179&gt;0, "Completed", "Pending")</f>
        <v/>
      </c>
      <c r="K179" s="10">
        <f>COUNTIF('Survey Responses'!F:F, F179)</f>
        <v/>
      </c>
    </row>
    <row r="180">
      <c r="A180" s="10" t="n">
        <v>179</v>
      </c>
      <c r="B180" s="11" t="inlineStr">
        <is>
          <t>Kushtia (GEN-A)</t>
        </is>
      </c>
      <c r="C180" s="11" t="inlineStr">
        <is>
          <t>Mr. Meer Mosfeq-Us-Saleheen</t>
        </is>
      </c>
      <c r="D180" s="11" t="inlineStr">
        <is>
          <t>Shahzadpur GEN-A-1</t>
        </is>
      </c>
      <c r="E180" s="11" t="inlineStr">
        <is>
          <t>Md. Zahangir Alom</t>
        </is>
      </c>
      <c r="F180" s="10" t="n">
        <v>10301</v>
      </c>
      <c r="G180" s="11" t="inlineStr">
        <is>
          <t>Kashinathpur-1</t>
        </is>
      </c>
      <c r="H180" s="10" t="n">
        <v>8300</v>
      </c>
      <c r="I180" s="11" t="inlineStr">
        <is>
          <t>Mr. Suraj Kanti Howlader</t>
        </is>
      </c>
      <c r="J180" s="10">
        <f>IF(K180&gt;0, "Completed", "Pending")</f>
        <v/>
      </c>
      <c r="K180" s="10">
        <f>COUNTIF('Survey Responses'!F:F, F180)</f>
        <v/>
      </c>
    </row>
    <row r="181">
      <c r="A181" s="10" t="n">
        <v>180</v>
      </c>
      <c r="B181" s="11" t="inlineStr">
        <is>
          <t>Kushtia (GEN-A)</t>
        </is>
      </c>
      <c r="C181" s="11" t="inlineStr">
        <is>
          <t>Mr. Meer Mosfeq-Us-Saleheen</t>
        </is>
      </c>
      <c r="D181" s="11" t="inlineStr">
        <is>
          <t>Shahzadpur GEN-A-1</t>
        </is>
      </c>
      <c r="E181" s="11" t="inlineStr">
        <is>
          <t>Md. Zahangir Alom</t>
        </is>
      </c>
      <c r="F181" s="10" t="n">
        <v>10302</v>
      </c>
      <c r="G181" s="11" t="inlineStr">
        <is>
          <t>Kashinathpur-2</t>
        </is>
      </c>
      <c r="H181" s="10" t="n">
        <v>2988</v>
      </c>
      <c r="I181" s="11" t="inlineStr">
        <is>
          <t>Md. Monjurul Alom</t>
        </is>
      </c>
      <c r="J181" s="10">
        <f>IF(K181&gt;0, "Completed", "Pending")</f>
        <v/>
      </c>
      <c r="K181" s="10">
        <f>COUNTIF('Survey Responses'!F:F, F181)</f>
        <v/>
      </c>
    </row>
    <row r="182">
      <c r="A182" s="10" t="n">
        <v>181</v>
      </c>
      <c r="B182" s="11" t="inlineStr">
        <is>
          <t>Kushtia (GEN-A)</t>
        </is>
      </c>
      <c r="C182" s="11" t="inlineStr">
        <is>
          <t>Mr. Meer Mosfeq-Us-Saleheen</t>
        </is>
      </c>
      <c r="D182" s="11" t="inlineStr">
        <is>
          <t>Shahzadpur GEN-A-1</t>
        </is>
      </c>
      <c r="E182" s="11" t="inlineStr">
        <is>
          <t>Md. Zahangir Alom</t>
        </is>
      </c>
      <c r="F182" s="10" t="n">
        <v>10299</v>
      </c>
      <c r="G182" s="11" t="inlineStr">
        <is>
          <t>Shahazadpur-2</t>
        </is>
      </c>
      <c r="H182" s="10" t="n">
        <v>1852</v>
      </c>
      <c r="I182" s="11" t="inlineStr">
        <is>
          <t>Md. Abdul Bari Firoz</t>
        </is>
      </c>
      <c r="J182" s="10">
        <f>IF(K182&gt;0, "Completed", "Pending")</f>
        <v/>
      </c>
      <c r="K182" s="10">
        <f>COUNTIF('Survey Responses'!F:F, F182)</f>
        <v/>
      </c>
    </row>
    <row r="183">
      <c r="A183" s="10" t="n">
        <v>182</v>
      </c>
      <c r="B183" s="11" t="inlineStr">
        <is>
          <t>Kushtia (GEN-A)</t>
        </is>
      </c>
      <c r="C183" s="11" t="inlineStr">
        <is>
          <t>Mr. Meer Mosfeq-Us-Saleheen</t>
        </is>
      </c>
      <c r="D183" s="11" t="inlineStr">
        <is>
          <t>Shahzadpur GEN-A-1</t>
        </is>
      </c>
      <c r="E183" s="11" t="inlineStr">
        <is>
          <t>Md. Zahangir Alom</t>
        </is>
      </c>
      <c r="F183" s="10" t="n">
        <v>10298</v>
      </c>
      <c r="G183" s="11" t="inlineStr">
        <is>
          <t>Shahzadpur-1</t>
        </is>
      </c>
      <c r="H183" s="10" t="n">
        <v>4041</v>
      </c>
      <c r="I183" s="11" t="inlineStr">
        <is>
          <t>Mr. Johorul Haque</t>
        </is>
      </c>
      <c r="J183" s="10">
        <f>IF(K183&gt;0, "Completed", "Pending")</f>
        <v/>
      </c>
      <c r="K183" s="10">
        <f>COUNTIF('Survey Responses'!F:F, F183)</f>
        <v/>
      </c>
    </row>
    <row r="184">
      <c r="A184" s="10" t="n">
        <v>183</v>
      </c>
      <c r="B184" s="11" t="inlineStr">
        <is>
          <t>Kushtia (GEN-A)</t>
        </is>
      </c>
      <c r="C184" s="11" t="inlineStr">
        <is>
          <t>Mr. Meer Mosfeq-Us-Saleheen</t>
        </is>
      </c>
      <c r="D184" s="11" t="inlineStr">
        <is>
          <t>Shahzadpur GEN-A-1</t>
        </is>
      </c>
      <c r="E184" s="11" t="inlineStr">
        <is>
          <t>Md. Zahangir Alom</t>
        </is>
      </c>
      <c r="F184" s="10" t="n">
        <v>12353</v>
      </c>
      <c r="G184" s="11" t="inlineStr">
        <is>
          <t>Shahzadpur-3</t>
        </is>
      </c>
      <c r="H184" s="10" t="n">
        <v>3740</v>
      </c>
      <c r="I184" s="11" t="inlineStr">
        <is>
          <t>Mr. Md. Mosharrof Hosen</t>
        </is>
      </c>
      <c r="J184" s="10">
        <f>IF(K184&gt;0, "Completed", "Pending")</f>
        <v/>
      </c>
      <c r="K184" s="10">
        <f>COUNTIF('Survey Responses'!F:F, F184)</f>
        <v/>
      </c>
    </row>
    <row r="185">
      <c r="A185" s="10" t="n">
        <v>184</v>
      </c>
      <c r="B185" s="11" t="inlineStr">
        <is>
          <t>Rajshahi (GEN-A)</t>
        </is>
      </c>
      <c r="C185" s="11" t="inlineStr">
        <is>
          <t>Mr. Masum Ahteshum Habib</t>
        </is>
      </c>
      <c r="D185" s="11" t="inlineStr">
        <is>
          <t>Bagmara GEN-A-1</t>
        </is>
      </c>
      <c r="E185" s="11" t="inlineStr">
        <is>
          <t>Mr. Md. Hasan Imam Rashel</t>
        </is>
      </c>
      <c r="F185" s="10" t="n">
        <v>10258</v>
      </c>
      <c r="G185" s="11" t="inlineStr">
        <is>
          <t>Bagmara (Rajshahi)-1</t>
        </is>
      </c>
      <c r="H185" s="10" t="n">
        <v>1376</v>
      </c>
      <c r="I185" s="11" t="inlineStr">
        <is>
          <t>Md. Sabedul Islam Mondal</t>
        </is>
      </c>
      <c r="J185" s="10">
        <f>IF(K185&gt;0, "Completed", "Pending")</f>
        <v/>
      </c>
      <c r="K185" s="10">
        <f>COUNTIF('Survey Responses'!F:F, F185)</f>
        <v/>
      </c>
    </row>
    <row r="186">
      <c r="A186" s="10" t="n">
        <v>185</v>
      </c>
      <c r="B186" s="11" t="inlineStr">
        <is>
          <t>Rajshahi (GEN-A)</t>
        </is>
      </c>
      <c r="C186" s="11" t="inlineStr">
        <is>
          <t>Mr. Masum Ahteshum Habib</t>
        </is>
      </c>
      <c r="D186" s="11" t="inlineStr">
        <is>
          <t>Bagmara GEN-A-1</t>
        </is>
      </c>
      <c r="E186" s="11" t="inlineStr">
        <is>
          <t>Mr. Md. Hasan Imam Rashel</t>
        </is>
      </c>
      <c r="F186" s="10" t="n">
        <v>12565</v>
      </c>
      <c r="G186" s="11" t="inlineStr">
        <is>
          <t xml:space="preserve">Bagmara (Rajshahi)-2 </t>
        </is>
      </c>
      <c r="H186" s="10" t="n">
        <v>5397</v>
      </c>
      <c r="I186" s="11" t="inlineStr">
        <is>
          <t>Md. Abdur Rouf</t>
        </is>
      </c>
      <c r="J186" s="10">
        <f>IF(K186&gt;0, "Completed", "Pending")</f>
        <v/>
      </c>
      <c r="K186" s="10">
        <f>COUNTIF('Survey Responses'!F:F, F186)</f>
        <v/>
      </c>
    </row>
    <row r="187">
      <c r="A187" s="10" t="n">
        <v>186</v>
      </c>
      <c r="B187" s="11" t="inlineStr">
        <is>
          <t>Rajshahi (GEN-A)</t>
        </is>
      </c>
      <c r="C187" s="11" t="inlineStr">
        <is>
          <t>Mr. Masum Ahteshum Habib</t>
        </is>
      </c>
      <c r="D187" s="11" t="inlineStr">
        <is>
          <t>Bagmara GEN-A-1</t>
        </is>
      </c>
      <c r="E187" s="11" t="inlineStr">
        <is>
          <t>Mr. Md. Hasan Imam Rashel</t>
        </is>
      </c>
      <c r="F187" s="10" t="n">
        <v>14604</v>
      </c>
      <c r="G187" s="11" t="inlineStr">
        <is>
          <t>Bagmara (Rajshahi)-3</t>
        </is>
      </c>
      <c r="H187" s="10" t="n">
        <v>7682</v>
      </c>
      <c r="I187" s="11" t="inlineStr">
        <is>
          <t>Mr. Md. Jakirul Islam</t>
        </is>
      </c>
      <c r="J187" s="10">
        <f>IF(K187&gt;0, "Completed", "Pending")</f>
        <v/>
      </c>
      <c r="K187" s="10">
        <f>COUNTIF('Survey Responses'!F:F, F187)</f>
        <v/>
      </c>
    </row>
    <row r="188">
      <c r="A188" s="10" t="n">
        <v>187</v>
      </c>
      <c r="B188" s="11" t="inlineStr">
        <is>
          <t>Rajshahi (GEN-A)</t>
        </is>
      </c>
      <c r="C188" s="11" t="inlineStr">
        <is>
          <t>Mr. Masum Ahteshum Habib</t>
        </is>
      </c>
      <c r="D188" s="11" t="inlineStr">
        <is>
          <t>Bagmara GEN-A-1</t>
        </is>
      </c>
      <c r="E188" s="11" t="inlineStr">
        <is>
          <t>Mr. Md. Hasan Imam Rashel</t>
        </is>
      </c>
      <c r="F188" s="10" t="n">
        <v>10261</v>
      </c>
      <c r="G188" s="11" t="inlineStr">
        <is>
          <t>Durgapur</t>
        </is>
      </c>
      <c r="H188" s="10" t="n">
        <v>1014</v>
      </c>
      <c r="I188" s="11" t="inlineStr">
        <is>
          <t>Md. Abdur Rouf</t>
        </is>
      </c>
      <c r="J188" s="10">
        <f>IF(K188&gt;0, "Completed", "Pending")</f>
        <v/>
      </c>
      <c r="K188" s="10">
        <f>COUNTIF('Survey Responses'!F:F, F188)</f>
        <v/>
      </c>
    </row>
    <row r="189">
      <c r="A189" s="10" t="n">
        <v>188</v>
      </c>
      <c r="B189" s="11" t="inlineStr">
        <is>
          <t>Rajshahi (GEN-A)</t>
        </is>
      </c>
      <c r="C189" s="11" t="inlineStr">
        <is>
          <t>Mr. Masum Ahteshum Habib</t>
        </is>
      </c>
      <c r="D189" s="11" t="inlineStr">
        <is>
          <t>Bagmara GEN-A-1</t>
        </is>
      </c>
      <c r="E189" s="11" t="inlineStr">
        <is>
          <t>Mr. Md. Hasan Imam Rashel</t>
        </is>
      </c>
      <c r="F189" s="10" t="n">
        <v>10246</v>
      </c>
      <c r="G189" s="11" t="inlineStr">
        <is>
          <t>Manda</t>
        </is>
      </c>
      <c r="H189" s="10" t="n">
        <v>2242</v>
      </c>
      <c r="I189" s="11" t="inlineStr">
        <is>
          <t>Noor Kasem</t>
        </is>
      </c>
      <c r="J189" s="10">
        <f>IF(K189&gt;0, "Completed", "Pending")</f>
        <v/>
      </c>
      <c r="K189" s="10">
        <f>COUNTIF('Survey Responses'!F:F, F189)</f>
        <v/>
      </c>
    </row>
    <row r="190">
      <c r="A190" s="10" t="n">
        <v>189</v>
      </c>
      <c r="B190" s="11" t="inlineStr">
        <is>
          <t>Rajshahi (GEN-A)</t>
        </is>
      </c>
      <c r="C190" s="11" t="inlineStr">
        <is>
          <t>Mr. Masum Ahteshum Habib</t>
        </is>
      </c>
      <c r="D190" s="11" t="inlineStr">
        <is>
          <t>Bagmara GEN-A-1</t>
        </is>
      </c>
      <c r="E190" s="11" t="inlineStr">
        <is>
          <t>Mr. Md. Hasan Imam Rashel</t>
        </is>
      </c>
      <c r="F190" s="10" t="n">
        <v>13061</v>
      </c>
      <c r="G190" s="11" t="inlineStr">
        <is>
          <t>Taherpur (Rajshahi)-1</t>
        </is>
      </c>
      <c r="H190" s="10" t="n">
        <v>8775</v>
      </c>
      <c r="I190" s="11" t="inlineStr">
        <is>
          <t>Mr. Md. Ishaq</t>
        </is>
      </c>
      <c r="J190" s="10">
        <f>IF(K190&gt;0, "Completed", "Pending")</f>
        <v/>
      </c>
      <c r="K190" s="10">
        <f>COUNTIF('Survey Responses'!F:F, F190)</f>
        <v/>
      </c>
    </row>
    <row r="191">
      <c r="A191" s="10" t="n">
        <v>190</v>
      </c>
      <c r="B191" s="11" t="inlineStr">
        <is>
          <t>Rajshahi (GEN-A)</t>
        </is>
      </c>
      <c r="C191" s="11" t="inlineStr">
        <is>
          <t>Mr. Masum Ahteshum Habib</t>
        </is>
      </c>
      <c r="D191" s="11" t="inlineStr">
        <is>
          <t>Bagmara GEN-A-1</t>
        </is>
      </c>
      <c r="E191" s="11" t="inlineStr">
        <is>
          <t>Mr. Md. Hasan Imam Rashel</t>
        </is>
      </c>
      <c r="F191" s="10" t="n">
        <v>14874</v>
      </c>
      <c r="G191" s="11" t="inlineStr">
        <is>
          <t>Taherpur (Rajshahi)-2</t>
        </is>
      </c>
      <c r="H191" s="10" t="n">
        <v>8997</v>
      </c>
      <c r="I191" s="11" t="inlineStr">
        <is>
          <t>Mr. Ramproshad Pal</t>
        </is>
      </c>
      <c r="J191" s="10">
        <f>IF(K191&gt;0, "Completed", "Pending")</f>
        <v/>
      </c>
      <c r="K191" s="10">
        <f>COUNTIF('Survey Responses'!F:F, F191)</f>
        <v/>
      </c>
    </row>
    <row r="192">
      <c r="A192" s="10" t="n">
        <v>191</v>
      </c>
      <c r="B192" s="11" t="inlineStr">
        <is>
          <t>Rajshahi (GEN-A)</t>
        </is>
      </c>
      <c r="C192" s="11" t="inlineStr">
        <is>
          <t>Mr. Masum Ahteshum Habib</t>
        </is>
      </c>
      <c r="D192" s="11" t="inlineStr">
        <is>
          <t>Chapainwabgonj GEN-A-1</t>
        </is>
      </c>
      <c r="E192" s="11" t="inlineStr">
        <is>
          <t>Mr. Md. Enamul Haque</t>
        </is>
      </c>
      <c r="F192" s="10" t="n">
        <v>14648</v>
      </c>
      <c r="G192" s="11" t="inlineStr">
        <is>
          <t>Bholahat-1</t>
        </is>
      </c>
      <c r="H192" s="10" t="n">
        <v>8308</v>
      </c>
      <c r="I192" s="11" t="inlineStr">
        <is>
          <t>Mr. Sajedul Islam</t>
        </is>
      </c>
      <c r="J192" s="10">
        <f>IF(K192&gt;0, "Completed", "Pending")</f>
        <v/>
      </c>
      <c r="K192" s="10">
        <f>COUNTIF('Survey Responses'!F:F, F192)</f>
        <v/>
      </c>
    </row>
    <row r="193">
      <c r="A193" s="10" t="n">
        <v>192</v>
      </c>
      <c r="B193" s="11" t="inlineStr">
        <is>
          <t>Rajshahi (GEN-A)</t>
        </is>
      </c>
      <c r="C193" s="11" t="inlineStr">
        <is>
          <t>Mr. Masum Ahteshum Habib</t>
        </is>
      </c>
      <c r="D193" s="11" t="inlineStr">
        <is>
          <t>Chapainwabgonj GEN-A-1</t>
        </is>
      </c>
      <c r="E193" s="11" t="inlineStr">
        <is>
          <t>Mr. Md. Enamul Haque</t>
        </is>
      </c>
      <c r="F193" s="10" t="n">
        <v>10279</v>
      </c>
      <c r="G193" s="11" t="inlineStr">
        <is>
          <t>C.Nawabganj-1</t>
        </is>
      </c>
      <c r="H193" s="10" t="n">
        <v>7230</v>
      </c>
      <c r="I193" s="11" t="inlineStr">
        <is>
          <t>Mr. Arun Kumar Paul</t>
        </is>
      </c>
      <c r="J193" s="10">
        <f>IF(K193&gt;0, "Completed", "Pending")</f>
        <v/>
      </c>
      <c r="K193" s="10">
        <f>COUNTIF('Survey Responses'!F:F, F193)</f>
        <v/>
      </c>
    </row>
    <row r="194">
      <c r="A194" s="10" t="n">
        <v>193</v>
      </c>
      <c r="B194" s="11" t="inlineStr">
        <is>
          <t>Rajshahi (GEN-A)</t>
        </is>
      </c>
      <c r="C194" s="11" t="inlineStr">
        <is>
          <t>Mr. Masum Ahteshum Habib</t>
        </is>
      </c>
      <c r="D194" s="11" t="inlineStr">
        <is>
          <t>Chapainwabgonj GEN-A-1</t>
        </is>
      </c>
      <c r="E194" s="11" t="inlineStr">
        <is>
          <t>Mr. Md. Enamul Haque</t>
        </is>
      </c>
      <c r="F194" s="10" t="n">
        <v>10278</v>
      </c>
      <c r="G194" s="11" t="inlineStr">
        <is>
          <t>C.Nawabganj-3</t>
        </is>
      </c>
      <c r="H194" s="10" t="n">
        <v>1722</v>
      </c>
      <c r="I194" s="11" t="inlineStr">
        <is>
          <t>Md. Mamunur Rashid</t>
        </is>
      </c>
      <c r="J194" s="10">
        <f>IF(K194&gt;0, "Completed", "Pending")</f>
        <v/>
      </c>
      <c r="K194" s="10">
        <f>COUNTIF('Survey Responses'!F:F, F194)</f>
        <v/>
      </c>
    </row>
    <row r="195">
      <c r="A195" s="10" t="n">
        <v>194</v>
      </c>
      <c r="B195" s="11" t="inlineStr">
        <is>
          <t>Rajshahi (GEN-A)</t>
        </is>
      </c>
      <c r="C195" s="11" t="inlineStr">
        <is>
          <t>Mr. Masum Ahteshum Habib</t>
        </is>
      </c>
      <c r="D195" s="11" t="inlineStr">
        <is>
          <t>Chapainwabgonj GEN-A-1</t>
        </is>
      </c>
      <c r="E195" s="11" t="inlineStr">
        <is>
          <t>Mr. Md. Enamul Haque</t>
        </is>
      </c>
      <c r="F195" s="10" t="n">
        <v>12722</v>
      </c>
      <c r="G195" s="11" t="inlineStr">
        <is>
          <t>C.Nawabganj-4</t>
        </is>
      </c>
      <c r="H195" s="10" t="n">
        <v>4262</v>
      </c>
      <c r="I195" s="11" t="inlineStr">
        <is>
          <t>Mr. Md. Sarwer Hossain</t>
        </is>
      </c>
      <c r="J195" s="10">
        <f>IF(K195&gt;0, "Completed", "Pending")</f>
        <v/>
      </c>
      <c r="K195" s="10">
        <f>COUNTIF('Survey Responses'!F:F, F195)</f>
        <v/>
      </c>
    </row>
    <row r="196">
      <c r="A196" s="10" t="n">
        <v>195</v>
      </c>
      <c r="B196" s="11" t="inlineStr">
        <is>
          <t>Rajshahi (GEN-A)</t>
        </is>
      </c>
      <c r="C196" s="11" t="inlineStr">
        <is>
          <t>Mr. Masum Ahteshum Habib</t>
        </is>
      </c>
      <c r="D196" s="11" t="inlineStr">
        <is>
          <t>Chapainwabgonj GEN-A-1</t>
        </is>
      </c>
      <c r="E196" s="11" t="inlineStr">
        <is>
          <t>Mr. Md. Enamul Haque</t>
        </is>
      </c>
      <c r="F196" s="10" t="n">
        <v>10276</v>
      </c>
      <c r="G196" s="11" t="inlineStr">
        <is>
          <t>Kanshat</t>
        </is>
      </c>
      <c r="H196" s="10" t="n">
        <v>1908</v>
      </c>
      <c r="I196" s="11" t="inlineStr">
        <is>
          <t>Md. Mizanur Rahman</t>
        </is>
      </c>
      <c r="J196" s="10">
        <f>IF(K196&gt;0, "Completed", "Pending")</f>
        <v/>
      </c>
      <c r="K196" s="10">
        <f>COUNTIF('Survey Responses'!F:F, F196)</f>
        <v/>
      </c>
    </row>
    <row r="197">
      <c r="A197" s="10" t="n">
        <v>196</v>
      </c>
      <c r="B197" s="11" t="inlineStr">
        <is>
          <t>Rajshahi (GEN-A)</t>
        </is>
      </c>
      <c r="C197" s="11" t="inlineStr">
        <is>
          <t>Mr. Masum Ahteshum Habib</t>
        </is>
      </c>
      <c r="D197" s="11" t="inlineStr">
        <is>
          <t>Chapainwabgonj GEN-A-1</t>
        </is>
      </c>
      <c r="E197" s="11" t="inlineStr">
        <is>
          <t>Mr. Md. Enamul Haque</t>
        </is>
      </c>
      <c r="F197" s="10" t="n">
        <v>10281</v>
      </c>
      <c r="G197" s="11" t="inlineStr">
        <is>
          <t>Shibgonj-1 (Rajshahi)</t>
        </is>
      </c>
      <c r="H197" s="10" t="n">
        <v>2535</v>
      </c>
      <c r="I197" s="11" t="inlineStr">
        <is>
          <t>Md. Milon Hossain</t>
        </is>
      </c>
      <c r="J197" s="10">
        <f>IF(K197&gt;0, "Completed", "Pending")</f>
        <v/>
      </c>
      <c r="K197" s="10">
        <f>COUNTIF('Survey Responses'!F:F, F197)</f>
        <v/>
      </c>
    </row>
    <row r="198">
      <c r="A198" s="10" t="n">
        <v>197</v>
      </c>
      <c r="B198" s="11" t="inlineStr">
        <is>
          <t>Rajshahi (GEN-A)</t>
        </is>
      </c>
      <c r="C198" s="11" t="inlineStr">
        <is>
          <t>Mr. Masum Ahteshum Habib</t>
        </is>
      </c>
      <c r="D198" s="11" t="inlineStr">
        <is>
          <t>Chapainwabgonj GEN-A-1</t>
        </is>
      </c>
      <c r="E198" s="11" t="inlineStr">
        <is>
          <t>Mr. Md. Enamul Haque</t>
        </is>
      </c>
      <c r="F198" s="10" t="n">
        <v>11810</v>
      </c>
      <c r="G198" s="11" t="inlineStr">
        <is>
          <t>Shibgonj-2 (Rajshahi)</t>
        </is>
      </c>
      <c r="H198" s="10" t="n">
        <v>5477</v>
      </c>
      <c r="I198" s="11" t="inlineStr">
        <is>
          <t>Mr. Md. Imran Hossain</t>
        </is>
      </c>
      <c r="J198" s="10">
        <f>IF(K198&gt;0, "Completed", "Pending")</f>
        <v/>
      </c>
      <c r="K198" s="10">
        <f>COUNTIF('Survey Responses'!F:F, F198)</f>
        <v/>
      </c>
    </row>
    <row r="199">
      <c r="A199" s="10" t="n">
        <v>198</v>
      </c>
      <c r="B199" s="11" t="inlineStr">
        <is>
          <t>Rajshahi (GEN-A)</t>
        </is>
      </c>
      <c r="C199" s="11" t="inlineStr">
        <is>
          <t>Mr. Masum Ahteshum Habib</t>
        </is>
      </c>
      <c r="D199" s="11" t="inlineStr">
        <is>
          <t>Chapainwabgonj GEN-A-2</t>
        </is>
      </c>
      <c r="E199" s="11" t="inlineStr">
        <is>
          <t>Farid Hossain</t>
        </is>
      </c>
      <c r="F199" s="10" t="n">
        <v>10277</v>
      </c>
      <c r="G199" s="11" t="inlineStr">
        <is>
          <t>C.Nawabganj-2</t>
        </is>
      </c>
      <c r="H199" s="10" t="n">
        <v>7281</v>
      </c>
      <c r="I199" s="11" t="inlineStr">
        <is>
          <t>Fahim Ibne Mawa</t>
        </is>
      </c>
      <c r="J199" s="10">
        <f>IF(K199&gt;0, "Completed", "Pending")</f>
        <v/>
      </c>
      <c r="K199" s="10">
        <f>COUNTIF('Survey Responses'!F:F, F199)</f>
        <v/>
      </c>
    </row>
    <row r="200">
      <c r="A200" s="10" t="n">
        <v>199</v>
      </c>
      <c r="B200" s="11" t="inlineStr">
        <is>
          <t>Rajshahi (GEN-A)</t>
        </is>
      </c>
      <c r="C200" s="11" t="inlineStr">
        <is>
          <t>Mr. Masum Ahteshum Habib</t>
        </is>
      </c>
      <c r="D200" s="11" t="inlineStr">
        <is>
          <t>Chapainwabgonj GEN-A-2</t>
        </is>
      </c>
      <c r="E200" s="11" t="inlineStr">
        <is>
          <t>Farid Hossain</t>
        </is>
      </c>
      <c r="F200" s="10" t="n">
        <v>13478</v>
      </c>
      <c r="G200" s="11" t="inlineStr">
        <is>
          <t>C.Nawabganj-5</t>
        </is>
      </c>
      <c r="H200" s="10" t="n">
        <v>1724</v>
      </c>
      <c r="I200" s="11" t="inlineStr">
        <is>
          <t>Al-Amin Islam</t>
        </is>
      </c>
      <c r="J200" s="10">
        <f>IF(K200&gt;0, "Completed", "Pending")</f>
        <v/>
      </c>
      <c r="K200" s="10">
        <f>COUNTIF('Survey Responses'!F:F, F200)</f>
        <v/>
      </c>
    </row>
    <row r="201">
      <c r="A201" s="10" t="n">
        <v>200</v>
      </c>
      <c r="B201" s="11" t="inlineStr">
        <is>
          <t>Rajshahi (GEN-A)</t>
        </is>
      </c>
      <c r="C201" s="11" t="inlineStr">
        <is>
          <t>Mr. Masum Ahteshum Habib</t>
        </is>
      </c>
      <c r="D201" s="11" t="inlineStr">
        <is>
          <t>Chapainwabgonj GEN-A-2</t>
        </is>
      </c>
      <c r="E201" s="11" t="inlineStr">
        <is>
          <t>Farid Hossain</t>
        </is>
      </c>
      <c r="F201" s="10" t="n">
        <v>14700</v>
      </c>
      <c r="G201" s="11" t="inlineStr">
        <is>
          <t>C.Nawabganj-6</t>
        </is>
      </c>
      <c r="H201" s="10" t="n">
        <v>3580</v>
      </c>
      <c r="I201" s="11" t="inlineStr">
        <is>
          <t>Mr. Golam Shaklain</t>
        </is>
      </c>
      <c r="J201" s="10">
        <f>IF(K201&gt;0, "Completed", "Pending")</f>
        <v/>
      </c>
      <c r="K201" s="10">
        <f>COUNTIF('Survey Responses'!F:F, F201)</f>
        <v/>
      </c>
    </row>
    <row r="202">
      <c r="A202" s="10" t="n">
        <v>201</v>
      </c>
      <c r="B202" s="11" t="inlineStr">
        <is>
          <t>Rajshahi (GEN-A)</t>
        </is>
      </c>
      <c r="C202" s="11" t="inlineStr">
        <is>
          <t>Mr. Masum Ahteshum Habib</t>
        </is>
      </c>
      <c r="D202" s="11" t="inlineStr">
        <is>
          <t>Chapainwabgonj GEN-A-2</t>
        </is>
      </c>
      <c r="E202" s="11" t="inlineStr">
        <is>
          <t>Farid Hossain</t>
        </is>
      </c>
      <c r="F202" s="10" t="n">
        <v>13131</v>
      </c>
      <c r="G202" s="11" t="inlineStr">
        <is>
          <t>Nachole-1</t>
        </is>
      </c>
      <c r="H202" s="10" t="n">
        <v>5739</v>
      </c>
      <c r="I202" s="11" t="inlineStr">
        <is>
          <t>Mr. Basudeb Chandra Roy</t>
        </is>
      </c>
      <c r="J202" s="10">
        <f>IF(K202&gt;0, "Completed", "Pending")</f>
        <v/>
      </c>
      <c r="K202" s="10">
        <f>COUNTIF('Survey Responses'!F:F, F202)</f>
        <v/>
      </c>
    </row>
    <row r="203">
      <c r="A203" s="10" t="n">
        <v>202</v>
      </c>
      <c r="B203" s="11" t="inlineStr">
        <is>
          <t>Rajshahi (GEN-A)</t>
        </is>
      </c>
      <c r="C203" s="11" t="inlineStr">
        <is>
          <t>Mr. Masum Ahteshum Habib</t>
        </is>
      </c>
      <c r="D203" s="11" t="inlineStr">
        <is>
          <t>Chapainwabgonj GEN-A-2</t>
        </is>
      </c>
      <c r="E203" s="11" t="inlineStr">
        <is>
          <t>Farid Hossain</t>
        </is>
      </c>
      <c r="F203" s="10" t="n">
        <v>10280</v>
      </c>
      <c r="G203" s="11" t="inlineStr">
        <is>
          <t>Rohonpur</t>
        </is>
      </c>
      <c r="H203" s="10" t="n">
        <v>2244</v>
      </c>
      <c r="I203" s="11" t="inlineStr">
        <is>
          <t>Md. Tahidul Islam</t>
        </is>
      </c>
      <c r="J203" s="10">
        <f>IF(K203&gt;0, "Completed", "Pending")</f>
        <v/>
      </c>
      <c r="K203" s="10">
        <f>COUNTIF('Survey Responses'!F:F, F203)</f>
        <v/>
      </c>
    </row>
    <row r="204">
      <c r="A204" s="10" t="n">
        <v>203</v>
      </c>
      <c r="B204" s="11" t="inlineStr">
        <is>
          <t>Rajshahi (GEN-A)</t>
        </is>
      </c>
      <c r="C204" s="11" t="inlineStr">
        <is>
          <t>Mr. Masum Ahteshum Habib</t>
        </is>
      </c>
      <c r="D204" s="11" t="inlineStr">
        <is>
          <t>Chapainwabgonj GEN-A-2</t>
        </is>
      </c>
      <c r="E204" s="11" t="inlineStr">
        <is>
          <t>Farid Hossain</t>
        </is>
      </c>
      <c r="F204" s="10" t="n">
        <v>10253</v>
      </c>
      <c r="G204" s="11" t="inlineStr">
        <is>
          <t>Tanore-1</t>
        </is>
      </c>
      <c r="H204" s="10" t="n">
        <v>1816</v>
      </c>
      <c r="I204" s="11" t="inlineStr">
        <is>
          <t>Md. Alamin</t>
        </is>
      </c>
      <c r="J204" s="10">
        <f>IF(K204&gt;0, "Completed", "Pending")</f>
        <v/>
      </c>
      <c r="K204" s="10">
        <f>COUNTIF('Survey Responses'!F:F, F204)</f>
        <v/>
      </c>
    </row>
    <row r="205">
      <c r="A205" s="10" t="n">
        <v>204</v>
      </c>
      <c r="B205" s="11" t="inlineStr">
        <is>
          <t>Rajshahi (GEN-A)</t>
        </is>
      </c>
      <c r="C205" s="11" t="inlineStr">
        <is>
          <t>Mr. Masum Ahteshum Habib</t>
        </is>
      </c>
      <c r="D205" s="11" t="inlineStr">
        <is>
          <t>Chapainwabgonj GEN-A-2</t>
        </is>
      </c>
      <c r="E205" s="11" t="inlineStr">
        <is>
          <t>Farid Hossain</t>
        </is>
      </c>
      <c r="F205" s="10" t="n">
        <v>13650</v>
      </c>
      <c r="G205" s="11" t="inlineStr">
        <is>
          <t>Tanore-2</t>
        </is>
      </c>
      <c r="H205" s="10" t="n">
        <v>7282</v>
      </c>
      <c r="I205" s="11" t="inlineStr">
        <is>
          <t>Md. Rakhibul Islam</t>
        </is>
      </c>
      <c r="J205" s="10">
        <f>IF(K205&gt;0, "Completed", "Pending")</f>
        <v/>
      </c>
      <c r="K205" s="10">
        <f>COUNTIF('Survey Responses'!F:F, F205)</f>
        <v/>
      </c>
    </row>
    <row r="206">
      <c r="A206" s="10" t="n">
        <v>205</v>
      </c>
      <c r="B206" s="11" t="inlineStr">
        <is>
          <t>Rajshahi (GEN-A)</t>
        </is>
      </c>
      <c r="C206" s="11" t="inlineStr">
        <is>
          <t>Mr. Masum Ahteshum Habib</t>
        </is>
      </c>
      <c r="D206" s="11" t="inlineStr">
        <is>
          <t>Natore GEN-A-1</t>
        </is>
      </c>
      <c r="E206" s="11" t="inlineStr">
        <is>
          <t>Md. Hasanujjaman</t>
        </is>
      </c>
      <c r="F206" s="10" t="n">
        <v>12913</v>
      </c>
      <c r="G206" s="11" t="inlineStr">
        <is>
          <t>Naldanga-1</t>
        </is>
      </c>
      <c r="H206" s="10" t="n">
        <v>5149</v>
      </c>
      <c r="I206" s="11" t="inlineStr">
        <is>
          <t>Mr. Pallob Ranjan Mohanta</t>
        </is>
      </c>
      <c r="J206" s="10">
        <f>IF(K206&gt;0, "Completed", "Pending")</f>
        <v/>
      </c>
      <c r="K206" s="10">
        <f>COUNTIF('Survey Responses'!F:F, F206)</f>
        <v/>
      </c>
    </row>
    <row r="207">
      <c r="A207" s="10" t="n">
        <v>206</v>
      </c>
      <c r="B207" s="11" t="inlineStr">
        <is>
          <t>Rajshahi (GEN-A)</t>
        </is>
      </c>
      <c r="C207" s="11" t="inlineStr">
        <is>
          <t>Mr. Masum Ahteshum Habib</t>
        </is>
      </c>
      <c r="D207" s="11" t="inlineStr">
        <is>
          <t>Natore GEN-A-1</t>
        </is>
      </c>
      <c r="E207" s="11" t="inlineStr">
        <is>
          <t>Md. Hasanujjaman</t>
        </is>
      </c>
      <c r="F207" s="10" t="n">
        <v>10162</v>
      </c>
      <c r="G207" s="11" t="inlineStr">
        <is>
          <t>Nandigram</t>
        </is>
      </c>
      <c r="H207" s="10" t="n">
        <v>2986</v>
      </c>
      <c r="I207" s="11" t="inlineStr">
        <is>
          <t>Hafizul Islam</t>
        </is>
      </c>
      <c r="J207" s="10">
        <f>IF(K207&gt;0, "Completed", "Pending")</f>
        <v/>
      </c>
      <c r="K207" s="10">
        <f>COUNTIF('Survey Responses'!F:F, F207)</f>
        <v/>
      </c>
    </row>
    <row r="208">
      <c r="A208" s="10" t="n">
        <v>207</v>
      </c>
      <c r="B208" s="11" t="inlineStr">
        <is>
          <t>Rajshahi (GEN-A)</t>
        </is>
      </c>
      <c r="C208" s="11" t="inlineStr">
        <is>
          <t>Mr. Masum Ahteshum Habib</t>
        </is>
      </c>
      <c r="D208" s="11" t="inlineStr">
        <is>
          <t>Natore GEN-A-1</t>
        </is>
      </c>
      <c r="E208" s="11" t="inlineStr">
        <is>
          <t>Md. Hasanujjaman</t>
        </is>
      </c>
      <c r="F208" s="10" t="n">
        <v>14707</v>
      </c>
      <c r="G208" s="11" t="inlineStr">
        <is>
          <t>Nandigram-2</t>
        </is>
      </c>
      <c r="H208" s="10" t="n">
        <v>875</v>
      </c>
      <c r="I208" s="11" t="inlineStr">
        <is>
          <t>Md. Shahid Nazir</t>
        </is>
      </c>
      <c r="J208" s="10">
        <f>IF(K208&gt;0, "Completed", "Pending")</f>
        <v/>
      </c>
      <c r="K208" s="10">
        <f>COUNTIF('Survey Responses'!F:F, F208)</f>
        <v/>
      </c>
    </row>
    <row r="209">
      <c r="A209" s="10" t="n">
        <v>208</v>
      </c>
      <c r="B209" s="11" t="inlineStr">
        <is>
          <t>Rajshahi (GEN-A)</t>
        </is>
      </c>
      <c r="C209" s="11" t="inlineStr">
        <is>
          <t>Mr. Masum Ahteshum Habib</t>
        </is>
      </c>
      <c r="D209" s="11" t="inlineStr">
        <is>
          <t>Natore GEN-A-1</t>
        </is>
      </c>
      <c r="E209" s="11" t="inlineStr">
        <is>
          <t>Md. Hasanujjaman</t>
        </is>
      </c>
      <c r="F209" s="10" t="n">
        <v>10269</v>
      </c>
      <c r="G209" s="11" t="inlineStr">
        <is>
          <t>Natore-3</t>
        </is>
      </c>
      <c r="H209" s="10" t="n">
        <v>1807</v>
      </c>
      <c r="I209" s="11" t="inlineStr">
        <is>
          <t>Feroz Ahmed</t>
        </is>
      </c>
      <c r="J209" s="10">
        <f>IF(K209&gt;0, "Completed", "Pending")</f>
        <v/>
      </c>
      <c r="K209" s="10">
        <f>COUNTIF('Survey Responses'!F:F, F209)</f>
        <v/>
      </c>
    </row>
    <row r="210">
      <c r="A210" s="10" t="n">
        <v>209</v>
      </c>
      <c r="B210" s="11" t="inlineStr">
        <is>
          <t>Rajshahi (GEN-A)</t>
        </is>
      </c>
      <c r="C210" s="11" t="inlineStr">
        <is>
          <t>Mr. Masum Ahteshum Habib</t>
        </is>
      </c>
      <c r="D210" s="11" t="inlineStr">
        <is>
          <t>Natore GEN-A-1</t>
        </is>
      </c>
      <c r="E210" s="11" t="inlineStr">
        <is>
          <t>Md. Hasanujjaman</t>
        </is>
      </c>
      <c r="F210" s="10" t="n">
        <v>10271</v>
      </c>
      <c r="G210" s="11" t="inlineStr">
        <is>
          <t>Natore-4</t>
        </is>
      </c>
      <c r="H210" s="10" t="n">
        <v>1927</v>
      </c>
      <c r="I210" s="11" t="inlineStr">
        <is>
          <t>Rajkumar Choudhury</t>
        </is>
      </c>
      <c r="J210" s="10">
        <f>IF(K210&gt;0, "Completed", "Pending")</f>
        <v/>
      </c>
      <c r="K210" s="10">
        <f>COUNTIF('Survey Responses'!F:F, F210)</f>
        <v/>
      </c>
    </row>
    <row r="211">
      <c r="A211" s="10" t="n">
        <v>210</v>
      </c>
      <c r="B211" s="11" t="inlineStr">
        <is>
          <t>Rajshahi (GEN-A)</t>
        </is>
      </c>
      <c r="C211" s="11" t="inlineStr">
        <is>
          <t>Mr. Masum Ahteshum Habib</t>
        </is>
      </c>
      <c r="D211" s="11" t="inlineStr">
        <is>
          <t>Natore GEN-A-1</t>
        </is>
      </c>
      <c r="E211" s="11" t="inlineStr">
        <is>
          <t>Md. Hasanujjaman</t>
        </is>
      </c>
      <c r="F211" s="10" t="n">
        <v>14900</v>
      </c>
      <c r="G211" s="11" t="inlineStr">
        <is>
          <t>Natore-5</t>
        </is>
      </c>
      <c r="H211" s="10" t="n">
        <v>9092</v>
      </c>
      <c r="I211" s="11" t="inlineStr">
        <is>
          <t>Mr. Millad Ahmed</t>
        </is>
      </c>
      <c r="J211" s="10">
        <f>IF(K211&gt;0, "Completed", "Pending")</f>
        <v/>
      </c>
      <c r="K211" s="10">
        <f>COUNTIF('Survey Responses'!F:F, F211)</f>
        <v/>
      </c>
    </row>
    <row r="212">
      <c r="A212" s="10" t="n">
        <v>211</v>
      </c>
      <c r="B212" s="11" t="inlineStr">
        <is>
          <t>Rajshahi (GEN-A)</t>
        </is>
      </c>
      <c r="C212" s="11" t="inlineStr">
        <is>
          <t>Mr. Masum Ahteshum Habib</t>
        </is>
      </c>
      <c r="D212" s="11" t="inlineStr">
        <is>
          <t>Natore GEN-A-1</t>
        </is>
      </c>
      <c r="E212" s="11" t="inlineStr">
        <is>
          <t>Md. Hasanujjaman</t>
        </is>
      </c>
      <c r="F212" s="10" t="n">
        <v>10275</v>
      </c>
      <c r="G212" s="11" t="inlineStr">
        <is>
          <t>Singra-1</t>
        </is>
      </c>
      <c r="H212" s="10" t="n">
        <v>1337</v>
      </c>
      <c r="I212" s="11" t="inlineStr">
        <is>
          <t>Md. Jalal Hosen</t>
        </is>
      </c>
      <c r="J212" s="10">
        <f>IF(K212&gt;0, "Completed", "Pending")</f>
        <v/>
      </c>
      <c r="K212" s="10">
        <f>COUNTIF('Survey Responses'!F:F, F212)</f>
        <v/>
      </c>
    </row>
    <row r="213">
      <c r="A213" s="10" t="n">
        <v>212</v>
      </c>
      <c r="B213" s="11" t="inlineStr">
        <is>
          <t>Rajshahi (GEN-A)</t>
        </is>
      </c>
      <c r="C213" s="11" t="inlineStr">
        <is>
          <t>Mr. Masum Ahteshum Habib</t>
        </is>
      </c>
      <c r="D213" s="11" t="inlineStr">
        <is>
          <t>Natore GEN-A-1</t>
        </is>
      </c>
      <c r="E213" s="11" t="inlineStr">
        <is>
          <t>Md. Hasanujjaman</t>
        </is>
      </c>
      <c r="F213" s="10" t="n">
        <v>13193</v>
      </c>
      <c r="G213" s="11" t="inlineStr">
        <is>
          <t>Singra-2</t>
        </is>
      </c>
      <c r="H213" s="10" t="n">
        <v>7620</v>
      </c>
      <c r="I213" s="11" t="inlineStr">
        <is>
          <t>Mr. Saidul Islam</t>
        </is>
      </c>
      <c r="J213" s="10">
        <f>IF(K213&gt;0, "Completed", "Pending")</f>
        <v/>
      </c>
      <c r="K213" s="10">
        <f>COUNTIF('Survey Responses'!F:F, F213)</f>
        <v/>
      </c>
    </row>
    <row r="214">
      <c r="A214" s="10" t="n">
        <v>213</v>
      </c>
      <c r="B214" s="11" t="inlineStr">
        <is>
          <t>Rajshahi (GEN-A)</t>
        </is>
      </c>
      <c r="C214" s="11" t="inlineStr">
        <is>
          <t>Mr. Masum Ahteshum Habib</t>
        </is>
      </c>
      <c r="D214" s="11" t="inlineStr">
        <is>
          <t>Natore GEN-A-2</t>
        </is>
      </c>
      <c r="E214" s="11" t="inlineStr">
        <is>
          <t>Md. Galib Al Feroj</t>
        </is>
      </c>
      <c r="F214" s="10" t="n">
        <v>10272</v>
      </c>
      <c r="G214" s="11" t="inlineStr">
        <is>
          <t>Gurudaspur-1</t>
        </is>
      </c>
      <c r="H214" s="10" t="n">
        <v>1309</v>
      </c>
      <c r="I214" s="11" t="inlineStr">
        <is>
          <t>Md. Abu Saeed</t>
        </is>
      </c>
      <c r="J214" s="10">
        <f>IF(K214&gt;0, "Completed", "Pending")</f>
        <v/>
      </c>
      <c r="K214" s="10">
        <f>COUNTIF('Survey Responses'!F:F, F214)</f>
        <v/>
      </c>
    </row>
    <row r="215">
      <c r="A215" s="10" t="n">
        <v>214</v>
      </c>
      <c r="B215" s="11" t="inlineStr">
        <is>
          <t>Rajshahi (GEN-A)</t>
        </is>
      </c>
      <c r="C215" s="11" t="inlineStr">
        <is>
          <t>Mr. Masum Ahteshum Habib</t>
        </is>
      </c>
      <c r="D215" s="11" t="inlineStr">
        <is>
          <t>Natore GEN-A-2</t>
        </is>
      </c>
      <c r="E215" s="11" t="inlineStr">
        <is>
          <t>Md. Galib Al Feroj</t>
        </is>
      </c>
      <c r="F215" s="10" t="n">
        <v>10273</v>
      </c>
      <c r="G215" s="11" t="inlineStr">
        <is>
          <t>Gurudaspur-2</t>
        </is>
      </c>
      <c r="H215" s="10" t="n">
        <v>5463</v>
      </c>
      <c r="I215" s="11" t="inlineStr">
        <is>
          <t>Mr. Md. Mohosin Ali</t>
        </is>
      </c>
      <c r="J215" s="10">
        <f>IF(K215&gt;0, "Completed", "Pending")</f>
        <v/>
      </c>
      <c r="K215" s="10">
        <f>COUNTIF('Survey Responses'!F:F, F215)</f>
        <v/>
      </c>
    </row>
    <row r="216">
      <c r="A216" s="10" t="n">
        <v>215</v>
      </c>
      <c r="B216" s="11" t="inlineStr">
        <is>
          <t>Rajshahi (GEN-A)</t>
        </is>
      </c>
      <c r="C216" s="11" t="inlineStr">
        <is>
          <t>Mr. Masum Ahteshum Habib</t>
        </is>
      </c>
      <c r="D216" s="11" t="inlineStr">
        <is>
          <t>Natore GEN-A-2</t>
        </is>
      </c>
      <c r="E216" s="11" t="inlineStr">
        <is>
          <t>Md. Galib Al Feroj</t>
        </is>
      </c>
      <c r="F216" s="10" t="n">
        <v>14714</v>
      </c>
      <c r="G216" s="11" t="inlineStr">
        <is>
          <t>Gurudaspur-3</t>
        </is>
      </c>
      <c r="H216" s="10" t="n">
        <v>988</v>
      </c>
      <c r="I216" s="11" t="inlineStr">
        <is>
          <t>Mohammad Ariful Islam</t>
        </is>
      </c>
      <c r="J216" s="10">
        <f>IF(K216&gt;0, "Completed", "Pending")</f>
        <v/>
      </c>
      <c r="K216" s="10">
        <f>COUNTIF('Survey Responses'!F:F, F216)</f>
        <v/>
      </c>
    </row>
    <row r="217">
      <c r="A217" s="10" t="n">
        <v>216</v>
      </c>
      <c r="B217" s="11" t="inlineStr">
        <is>
          <t>Rajshahi (GEN-A)</t>
        </is>
      </c>
      <c r="C217" s="11" t="inlineStr">
        <is>
          <t>Mr. Masum Ahteshum Habib</t>
        </is>
      </c>
      <c r="D217" s="11" t="inlineStr">
        <is>
          <t>Natore GEN-A-2</t>
        </is>
      </c>
      <c r="E217" s="11" t="inlineStr">
        <is>
          <t>Md. Galib Al Feroj</t>
        </is>
      </c>
      <c r="F217" s="10" t="n">
        <v>10274</v>
      </c>
      <c r="G217" s="11" t="inlineStr">
        <is>
          <t>Natore-1</t>
        </is>
      </c>
      <c r="H217" s="10" t="n">
        <v>1487</v>
      </c>
      <c r="I217" s="11" t="inlineStr">
        <is>
          <t>Md. Ashiqur Rahman</t>
        </is>
      </c>
      <c r="J217" s="10">
        <f>IF(K217&gt;0, "Completed", "Pending")</f>
        <v/>
      </c>
      <c r="K217" s="10">
        <f>COUNTIF('Survey Responses'!F:F, F217)</f>
        <v/>
      </c>
    </row>
    <row r="218">
      <c r="A218" s="10" t="n">
        <v>217</v>
      </c>
      <c r="B218" s="11" t="inlineStr">
        <is>
          <t>Rajshahi (GEN-A)</t>
        </is>
      </c>
      <c r="C218" s="11" t="inlineStr">
        <is>
          <t>Mr. Masum Ahteshum Habib</t>
        </is>
      </c>
      <c r="D218" s="11" t="inlineStr">
        <is>
          <t>Natore GEN-A-2</t>
        </is>
      </c>
      <c r="E218" s="11" t="inlineStr">
        <is>
          <t>Md. Galib Al Feroj</t>
        </is>
      </c>
      <c r="F218" s="10" t="n">
        <v>10270</v>
      </c>
      <c r="G218" s="11" t="inlineStr">
        <is>
          <t>Natore-2</t>
        </is>
      </c>
      <c r="H218" s="10" t="n">
        <v>9063</v>
      </c>
      <c r="I218" s="11" t="inlineStr">
        <is>
          <t>Mr. Khorshed Alam</t>
        </is>
      </c>
      <c r="J218" s="10">
        <f>IF(K218&gt;0, "Completed", "Pending")</f>
        <v/>
      </c>
      <c r="K218" s="10">
        <f>COUNTIF('Survey Responses'!F:F, F218)</f>
        <v/>
      </c>
    </row>
    <row r="219">
      <c r="A219" s="10" t="n">
        <v>218</v>
      </c>
      <c r="B219" s="11" t="inlineStr">
        <is>
          <t>Rajshahi (GEN-A)</t>
        </is>
      </c>
      <c r="C219" s="11" t="inlineStr">
        <is>
          <t>Mr. Masum Ahteshum Habib</t>
        </is>
      </c>
      <c r="D219" s="11" t="inlineStr">
        <is>
          <t>Natore GEN-A-2</t>
        </is>
      </c>
      <c r="E219" s="11" t="inlineStr">
        <is>
          <t>Md. Galib Al Feroj</t>
        </is>
      </c>
      <c r="F219" s="10" t="n">
        <v>10249</v>
      </c>
      <c r="G219" s="11" t="inlineStr">
        <is>
          <t>Puthia</t>
        </is>
      </c>
      <c r="H219" s="10" t="n">
        <v>1111</v>
      </c>
      <c r="I219" s="11" t="inlineStr">
        <is>
          <t>Muhammad Belal Hossain</t>
        </is>
      </c>
      <c r="J219" s="10">
        <f>IF(K219&gt;0, "Completed", "Pending")</f>
        <v/>
      </c>
      <c r="K219" s="10">
        <f>COUNTIF('Survey Responses'!F:F, F219)</f>
        <v/>
      </c>
    </row>
    <row r="220">
      <c r="A220" s="10" t="n">
        <v>219</v>
      </c>
      <c r="B220" s="11" t="inlineStr">
        <is>
          <t>Rajshahi (GEN-A)</t>
        </is>
      </c>
      <c r="C220" s="11" t="inlineStr">
        <is>
          <t>Mr. Masum Ahteshum Habib</t>
        </is>
      </c>
      <c r="D220" s="11" t="inlineStr">
        <is>
          <t>Natore GEN-A-2</t>
        </is>
      </c>
      <c r="E220" s="11" t="inlineStr">
        <is>
          <t>Md. Galib Al Feroj</t>
        </is>
      </c>
      <c r="F220" s="10" t="n">
        <v>10160</v>
      </c>
      <c r="G220" s="11" t="inlineStr">
        <is>
          <t>Tarash</t>
        </is>
      </c>
      <c r="H220" s="10" t="n">
        <v>2984</v>
      </c>
      <c r="I220" s="11" t="inlineStr">
        <is>
          <t>Md. Shohel Rana</t>
        </is>
      </c>
      <c r="J220" s="10">
        <f>IF(K220&gt;0, "Completed", "Pending")</f>
        <v/>
      </c>
      <c r="K220" s="10">
        <f>COUNTIF('Survey Responses'!F:F, F220)</f>
        <v/>
      </c>
    </row>
    <row r="221">
      <c r="A221" s="10" t="n">
        <v>220</v>
      </c>
      <c r="B221" s="11" t="inlineStr">
        <is>
          <t>Rajshahi (GEN-A)</t>
        </is>
      </c>
      <c r="C221" s="11" t="inlineStr">
        <is>
          <t>Mr. Masum Ahteshum Habib</t>
        </is>
      </c>
      <c r="D221" s="11" t="inlineStr">
        <is>
          <t>Patnitola GEN-A-1</t>
        </is>
      </c>
      <c r="E221" s="11" t="inlineStr">
        <is>
          <t>Mr. Khondokar Mazharul Islam</t>
        </is>
      </c>
      <c r="F221" s="10" t="n">
        <v>12586</v>
      </c>
      <c r="G221" s="11" t="inlineStr">
        <is>
          <t>Niamatpur-1</t>
        </is>
      </c>
      <c r="H221" s="10" t="n">
        <v>2269</v>
      </c>
      <c r="I221" s="11" t="inlineStr">
        <is>
          <t>Md. Eusuf Ali</t>
        </is>
      </c>
      <c r="J221" s="10">
        <f>IF(K221&gt;0, "Completed", "Pending")</f>
        <v/>
      </c>
      <c r="K221" s="10">
        <f>COUNTIF('Survey Responses'!F:F, F221)</f>
        <v/>
      </c>
    </row>
    <row r="222">
      <c r="A222" s="10" t="n">
        <v>221</v>
      </c>
      <c r="B222" s="11" t="inlineStr">
        <is>
          <t>Rajshahi (GEN-A)</t>
        </is>
      </c>
      <c r="C222" s="11" t="inlineStr">
        <is>
          <t>Mr. Masum Ahteshum Habib</t>
        </is>
      </c>
      <c r="D222" s="11" t="inlineStr">
        <is>
          <t>Patnitola GEN-A-1</t>
        </is>
      </c>
      <c r="E222" s="11" t="inlineStr">
        <is>
          <t>Mr. Khondokar Mazharul Islam</t>
        </is>
      </c>
      <c r="F222" s="10" t="n">
        <v>10264</v>
      </c>
      <c r="G222" s="11" t="inlineStr">
        <is>
          <t>Patnitola-1</t>
        </is>
      </c>
      <c r="H222" s="10" t="n">
        <v>1885</v>
      </c>
      <c r="I222" s="11" t="inlineStr">
        <is>
          <t>Md. Moshfiqur Rahman</t>
        </is>
      </c>
      <c r="J222" s="10">
        <f>IF(K222&gt;0, "Completed", "Pending")</f>
        <v/>
      </c>
      <c r="K222" s="10">
        <f>COUNTIF('Survey Responses'!F:F, F222)</f>
        <v/>
      </c>
    </row>
    <row r="223">
      <c r="A223" s="10" t="n">
        <v>222</v>
      </c>
      <c r="B223" s="11" t="inlineStr">
        <is>
          <t>Rajshahi (GEN-A)</t>
        </is>
      </c>
      <c r="C223" s="11" t="inlineStr">
        <is>
          <t>Mr. Masum Ahteshum Habib</t>
        </is>
      </c>
      <c r="D223" s="11" t="inlineStr">
        <is>
          <t>Patnitola GEN-A-1</t>
        </is>
      </c>
      <c r="E223" s="11" t="inlineStr">
        <is>
          <t>Mr. Khondokar Mazharul Islam</t>
        </is>
      </c>
      <c r="F223" s="10" t="n">
        <v>10267</v>
      </c>
      <c r="G223" s="11" t="inlineStr">
        <is>
          <t>Patnitola-2</t>
        </is>
      </c>
      <c r="H223" s="10" t="n">
        <v>7231</v>
      </c>
      <c r="I223" s="11" t="inlineStr">
        <is>
          <t>Mr. Sumon Bhattacharjee</t>
        </is>
      </c>
      <c r="J223" s="10">
        <f>IF(K223&gt;0, "Completed", "Pending")</f>
        <v/>
      </c>
      <c r="K223" s="10">
        <f>COUNTIF('Survey Responses'!F:F, F223)</f>
        <v/>
      </c>
    </row>
    <row r="224">
      <c r="A224" s="10" t="n">
        <v>223</v>
      </c>
      <c r="B224" s="11" t="inlineStr">
        <is>
          <t>Rajshahi (GEN-A)</t>
        </is>
      </c>
      <c r="C224" s="11" t="inlineStr">
        <is>
          <t>Mr. Masum Ahteshum Habib</t>
        </is>
      </c>
      <c r="D224" s="11" t="inlineStr">
        <is>
          <t>Patnitola GEN-A-1</t>
        </is>
      </c>
      <c r="E224" s="11" t="inlineStr">
        <is>
          <t>Mr. Khondokar Mazharul Islam</t>
        </is>
      </c>
      <c r="F224" s="10" t="n">
        <v>12580</v>
      </c>
      <c r="G224" s="11" t="inlineStr">
        <is>
          <t>Patnitola-3</t>
        </is>
      </c>
      <c r="H224" s="10" t="n">
        <v>6187</v>
      </c>
      <c r="I224" s="11" t="inlineStr">
        <is>
          <t>Mr. Md. Roman Molla</t>
        </is>
      </c>
      <c r="J224" s="10">
        <f>IF(K224&gt;0, "Completed", "Pending")</f>
        <v/>
      </c>
      <c r="K224" s="10">
        <f>COUNTIF('Survey Responses'!F:F, F224)</f>
        <v/>
      </c>
    </row>
    <row r="225">
      <c r="A225" s="10" t="n">
        <v>224</v>
      </c>
      <c r="B225" s="11" t="inlineStr">
        <is>
          <t>Rajshahi (GEN-A)</t>
        </is>
      </c>
      <c r="C225" s="11" t="inlineStr">
        <is>
          <t>Mr. Masum Ahteshum Habib</t>
        </is>
      </c>
      <c r="D225" s="11" t="inlineStr">
        <is>
          <t>Patnitola GEN-A-1</t>
        </is>
      </c>
      <c r="E225" s="11" t="inlineStr">
        <is>
          <t>Mr. Khondokar Mazharul Islam</t>
        </is>
      </c>
      <c r="F225" s="10" t="n">
        <v>14883</v>
      </c>
      <c r="G225" s="11" t="inlineStr">
        <is>
          <t>Porsha-1</t>
        </is>
      </c>
      <c r="H225" s="10" t="n">
        <v>2605</v>
      </c>
      <c r="I225" s="11" t="inlineStr">
        <is>
          <t>Nandan Kumar Roy</t>
        </is>
      </c>
      <c r="J225" s="10">
        <f>IF(K225&gt;0, "Completed", "Pending")</f>
        <v/>
      </c>
      <c r="K225" s="10">
        <f>COUNTIF('Survey Responses'!F:F, F225)</f>
        <v/>
      </c>
    </row>
    <row r="226">
      <c r="A226" s="10" t="n">
        <v>225</v>
      </c>
      <c r="B226" s="11" t="inlineStr">
        <is>
          <t>Rajshahi (GEN-A)</t>
        </is>
      </c>
      <c r="C226" s="11" t="inlineStr">
        <is>
          <t>Mr. Masum Ahteshum Habib</t>
        </is>
      </c>
      <c r="D226" s="11" t="inlineStr">
        <is>
          <t>Patnitola GEN-A-1</t>
        </is>
      </c>
      <c r="E226" s="11" t="inlineStr">
        <is>
          <t>Mr. Khondokar Mazharul Islam</t>
        </is>
      </c>
      <c r="F226" s="10" t="n">
        <v>10265</v>
      </c>
      <c r="G226" s="11" t="inlineStr">
        <is>
          <t>Sapahar-1</t>
        </is>
      </c>
      <c r="H226" s="10" t="n">
        <v>8996</v>
      </c>
      <c r="I226" s="11" t="inlineStr">
        <is>
          <t>Mr. Md. Nashir Uddin</t>
        </is>
      </c>
      <c r="J226" s="10">
        <f>IF(K226&gt;0, "Completed", "Pending")</f>
        <v/>
      </c>
      <c r="K226" s="10">
        <f>COUNTIF('Survey Responses'!F:F, F226)</f>
        <v/>
      </c>
    </row>
    <row r="227">
      <c r="A227" s="10" t="n">
        <v>226</v>
      </c>
      <c r="B227" s="11" t="inlineStr">
        <is>
          <t>Rajshahi (GEN-A)</t>
        </is>
      </c>
      <c r="C227" s="11" t="inlineStr">
        <is>
          <t>Mr. Masum Ahteshum Habib</t>
        </is>
      </c>
      <c r="D227" s="11" t="inlineStr">
        <is>
          <t>Patnitola GEN-A-1</t>
        </is>
      </c>
      <c r="E227" s="11" t="inlineStr">
        <is>
          <t>Mr. Khondokar Mazharul Islam</t>
        </is>
      </c>
      <c r="F227" s="10" t="n">
        <v>13104</v>
      </c>
      <c r="G227" s="11" t="inlineStr">
        <is>
          <t>Sapahar-2</t>
        </is>
      </c>
      <c r="H227" s="10" t="n">
        <v>5982</v>
      </c>
      <c r="I227" s="11" t="inlineStr">
        <is>
          <t>Mr. Md. Hazrat Ali</t>
        </is>
      </c>
      <c r="J227" s="10">
        <f>IF(K227&gt;0, "Completed", "Pending")</f>
        <v/>
      </c>
      <c r="K227" s="10">
        <f>COUNTIF('Survey Responses'!F:F, F227)</f>
        <v/>
      </c>
    </row>
    <row r="228">
      <c r="A228" s="10" t="n">
        <v>227</v>
      </c>
      <c r="B228" s="11" t="inlineStr">
        <is>
          <t>Rajshahi (GEN-A)</t>
        </is>
      </c>
      <c r="C228" s="11" t="inlineStr">
        <is>
          <t>Mr. Masum Ahteshum Habib</t>
        </is>
      </c>
      <c r="D228" s="11" t="inlineStr">
        <is>
          <t>Rajshahi GEN-A-1</t>
        </is>
      </c>
      <c r="E228" s="11" t="inlineStr">
        <is>
          <t>Mr. Md. Johurul Islam</t>
        </is>
      </c>
      <c r="F228" s="10" t="n">
        <v>10254</v>
      </c>
      <c r="G228" s="11" t="inlineStr">
        <is>
          <t>Godagari</t>
        </is>
      </c>
      <c r="H228" s="10" t="n">
        <v>7580</v>
      </c>
      <c r="I228" s="11" t="inlineStr">
        <is>
          <t>Mr. Md. Rabbul Hossain</t>
        </is>
      </c>
      <c r="J228" s="10">
        <f>IF(K228&gt;0, "Completed", "Pending")</f>
        <v/>
      </c>
      <c r="K228" s="10">
        <f>COUNTIF('Survey Responses'!F:F, F228)</f>
        <v/>
      </c>
    </row>
    <row r="229">
      <c r="A229" s="10" t="n">
        <v>228</v>
      </c>
      <c r="B229" s="11" t="inlineStr">
        <is>
          <t>Rajshahi (GEN-A)</t>
        </is>
      </c>
      <c r="C229" s="11" t="inlineStr">
        <is>
          <t>Mr. Masum Ahteshum Habib</t>
        </is>
      </c>
      <c r="D229" s="11" t="inlineStr">
        <is>
          <t>Rajshahi GEN-A-1</t>
        </is>
      </c>
      <c r="E229" s="11" t="inlineStr">
        <is>
          <t>Mr. Md. Johurul Islam</t>
        </is>
      </c>
      <c r="F229" s="10" t="n">
        <v>10243</v>
      </c>
      <c r="G229" s="11" t="inlineStr">
        <is>
          <t>Rajshahi-1</t>
        </is>
      </c>
      <c r="H229" s="10" t="n">
        <v>3979</v>
      </c>
      <c r="I229" s="11" t="inlineStr">
        <is>
          <t>Mr. Md. Ataur Rahman</t>
        </is>
      </c>
      <c r="J229" s="10">
        <f>IF(K229&gt;0, "Completed", "Pending")</f>
        <v/>
      </c>
      <c r="K229" s="10">
        <f>COUNTIF('Survey Responses'!F:F, F229)</f>
        <v/>
      </c>
    </row>
    <row r="230">
      <c r="A230" s="10" t="n">
        <v>229</v>
      </c>
      <c r="B230" s="11" t="inlineStr">
        <is>
          <t>Rajshahi (GEN-A)</t>
        </is>
      </c>
      <c r="C230" s="11" t="inlineStr">
        <is>
          <t>Mr. Masum Ahteshum Habib</t>
        </is>
      </c>
      <c r="D230" s="11" t="inlineStr">
        <is>
          <t>Rajshahi GEN-A-1</t>
        </is>
      </c>
      <c r="E230" s="11" t="inlineStr">
        <is>
          <t>Mr. Md. Johurul Islam</t>
        </is>
      </c>
      <c r="F230" s="10" t="n">
        <v>10244</v>
      </c>
      <c r="G230" s="11" t="inlineStr">
        <is>
          <t>Rajshahi-10 (RMCH)</t>
        </is>
      </c>
      <c r="H230" s="10" t="n">
        <v>6935</v>
      </c>
      <c r="I230" s="11" t="inlineStr">
        <is>
          <t>Mr. Abdur Razzak</t>
        </is>
      </c>
      <c r="J230" s="10">
        <f>IF(K230&gt;0, "Completed", "Pending")</f>
        <v/>
      </c>
      <c r="K230" s="10">
        <f>COUNTIF('Survey Responses'!F:F, F230)</f>
        <v/>
      </c>
    </row>
    <row r="231">
      <c r="A231" s="10" t="n">
        <v>230</v>
      </c>
      <c r="B231" s="11" t="inlineStr">
        <is>
          <t>Rajshahi (GEN-A)</t>
        </is>
      </c>
      <c r="C231" s="11" t="inlineStr">
        <is>
          <t>Mr. Masum Ahteshum Habib</t>
        </is>
      </c>
      <c r="D231" s="11" t="inlineStr">
        <is>
          <t>Rajshahi GEN-A-1</t>
        </is>
      </c>
      <c r="E231" s="11" t="inlineStr">
        <is>
          <t>Mr. Md. Johurul Islam</t>
        </is>
      </c>
      <c r="F231" s="10" t="n">
        <v>10247</v>
      </c>
      <c r="G231" s="11" t="inlineStr">
        <is>
          <t>Rajshahi-13</t>
        </is>
      </c>
      <c r="H231" s="10" t="n">
        <v>5871</v>
      </c>
      <c r="I231" s="11" t="inlineStr">
        <is>
          <t>Mr. Al Amin</t>
        </is>
      </c>
      <c r="J231" s="10">
        <f>IF(K231&gt;0, "Completed", "Pending")</f>
        <v/>
      </c>
      <c r="K231" s="10">
        <f>COUNTIF('Survey Responses'!F:F, F231)</f>
        <v/>
      </c>
    </row>
    <row r="232">
      <c r="A232" s="10" t="n">
        <v>231</v>
      </c>
      <c r="B232" s="11" t="inlineStr">
        <is>
          <t>Rajshahi (GEN-A)</t>
        </is>
      </c>
      <c r="C232" s="11" t="inlineStr">
        <is>
          <t>Mr. Masum Ahteshum Habib</t>
        </is>
      </c>
      <c r="D232" s="11" t="inlineStr">
        <is>
          <t>Rajshahi GEN-A-1</t>
        </is>
      </c>
      <c r="E232" s="11" t="inlineStr">
        <is>
          <t>Mr. Md. Johurul Islam</t>
        </is>
      </c>
      <c r="F232" s="10" t="n">
        <v>14861</v>
      </c>
      <c r="G232" s="11" t="inlineStr">
        <is>
          <t>Rajshahi-16 (RMCH-Popular)</t>
        </is>
      </c>
      <c r="H232" s="10" t="n">
        <v>8978</v>
      </c>
      <c r="I232" s="11" t="inlineStr">
        <is>
          <t>Mr. Md. Imran Hossen</t>
        </is>
      </c>
      <c r="J232" s="10">
        <f>IF(K232&gt;0, "Completed", "Pending")</f>
        <v/>
      </c>
      <c r="K232" s="10">
        <f>COUNTIF('Survey Responses'!F:F, F232)</f>
        <v/>
      </c>
    </row>
    <row r="233">
      <c r="A233" s="10" t="n">
        <v>232</v>
      </c>
      <c r="B233" s="11" t="inlineStr">
        <is>
          <t>Rajshahi (GEN-A)</t>
        </is>
      </c>
      <c r="C233" s="11" t="inlineStr">
        <is>
          <t>Mr. Masum Ahteshum Habib</t>
        </is>
      </c>
      <c r="D233" s="11" t="inlineStr">
        <is>
          <t>Rajshahi GEN-A-1</t>
        </is>
      </c>
      <c r="E233" s="11" t="inlineStr">
        <is>
          <t>Mr. Md. Johurul Islam</t>
        </is>
      </c>
      <c r="F233" s="10" t="n">
        <v>10251</v>
      </c>
      <c r="G233" s="11" t="inlineStr">
        <is>
          <t>Rajshahi-5</t>
        </is>
      </c>
      <c r="H233" s="10" t="n">
        <v>8407</v>
      </c>
      <c r="I233" s="11" t="inlineStr">
        <is>
          <t>Mr. Zahidul Alam</t>
        </is>
      </c>
      <c r="J233" s="10">
        <f>IF(K233&gt;0, "Completed", "Pending")</f>
        <v/>
      </c>
      <c r="K233" s="10">
        <f>COUNTIF('Survey Responses'!F:F, F233)</f>
        <v/>
      </c>
    </row>
    <row r="234">
      <c r="A234" s="10" t="n">
        <v>233</v>
      </c>
      <c r="B234" s="11" t="inlineStr">
        <is>
          <t>Rajshahi (GEN-A)</t>
        </is>
      </c>
      <c r="C234" s="11" t="inlineStr">
        <is>
          <t>Mr. Masum Ahteshum Habib</t>
        </is>
      </c>
      <c r="D234" s="11" t="inlineStr">
        <is>
          <t>Rajshahi GEN-A-1</t>
        </is>
      </c>
      <c r="E234" s="11" t="inlineStr">
        <is>
          <t>Mr. Md. Johurul Islam</t>
        </is>
      </c>
      <c r="F234" s="10" t="n">
        <v>10242</v>
      </c>
      <c r="G234" s="11" t="inlineStr">
        <is>
          <t>Rajshahi-6</t>
        </is>
      </c>
      <c r="H234" s="10" t="n">
        <v>7430</v>
      </c>
      <c r="I234" s="11" t="inlineStr">
        <is>
          <t>Mr. Md. Abu Kayser Rakib</t>
        </is>
      </c>
      <c r="J234" s="10">
        <f>IF(K234&gt;0, "Completed", "Pending")</f>
        <v/>
      </c>
      <c r="K234" s="10">
        <f>COUNTIF('Survey Responses'!F:F, F234)</f>
        <v/>
      </c>
    </row>
    <row r="235">
      <c r="A235" s="10" t="n">
        <v>234</v>
      </c>
      <c r="B235" s="11" t="inlineStr">
        <is>
          <t>Rajshahi (GEN-A)</t>
        </is>
      </c>
      <c r="C235" s="11" t="inlineStr">
        <is>
          <t>Mr. Masum Ahteshum Habib</t>
        </is>
      </c>
      <c r="D235" s="11" t="inlineStr">
        <is>
          <t>Rajshahi GEN-A-1</t>
        </is>
      </c>
      <c r="E235" s="11" t="inlineStr">
        <is>
          <t>Mr. Md. Johurul Islam</t>
        </is>
      </c>
      <c r="F235" s="10" t="n">
        <v>10248</v>
      </c>
      <c r="G235" s="11" t="inlineStr">
        <is>
          <t>Rajshahi-7</t>
        </is>
      </c>
      <c r="H235" s="10" t="n">
        <v>5504</v>
      </c>
      <c r="I235" s="11" t="inlineStr">
        <is>
          <t>Mr. Mahbubur Rahman Siraj</t>
        </is>
      </c>
      <c r="J235" s="10">
        <f>IF(K235&gt;0, "Completed", "Pending")</f>
        <v/>
      </c>
      <c r="K235" s="10">
        <f>COUNTIF('Survey Responses'!F:F, F235)</f>
        <v/>
      </c>
    </row>
    <row r="236">
      <c r="A236" s="10" t="n">
        <v>235</v>
      </c>
      <c r="B236" s="11" t="inlineStr">
        <is>
          <t>Rajshahi (GEN-A)</t>
        </is>
      </c>
      <c r="C236" s="11" t="inlineStr">
        <is>
          <t>Mr. Masum Ahteshum Habib</t>
        </is>
      </c>
      <c r="D236" s="11" t="inlineStr">
        <is>
          <t>Rajshahi GEN-A-2</t>
        </is>
      </c>
      <c r="E236" s="11" t="inlineStr">
        <is>
          <t>Mr. Md. Shahidul Islam</t>
        </is>
      </c>
      <c r="F236" s="10" t="n">
        <v>10262</v>
      </c>
      <c r="G236" s="11" t="inlineStr">
        <is>
          <t>Charghat</t>
        </is>
      </c>
      <c r="H236" s="10" t="n">
        <v>1779</v>
      </c>
      <c r="I236" s="11" t="inlineStr">
        <is>
          <t>Mr. Sazal Kumar Bashak</t>
        </is>
      </c>
      <c r="J236" s="10">
        <f>IF(K236&gt;0, "Completed", "Pending")</f>
        <v/>
      </c>
      <c r="K236" s="10">
        <f>COUNTIF('Survey Responses'!F:F, F236)</f>
        <v/>
      </c>
    </row>
    <row r="237">
      <c r="A237" s="10" t="n">
        <v>236</v>
      </c>
      <c r="B237" s="11" t="inlineStr">
        <is>
          <t>Rajshahi (GEN-A)</t>
        </is>
      </c>
      <c r="C237" s="11" t="inlineStr">
        <is>
          <t>Mr. Masum Ahteshum Habib</t>
        </is>
      </c>
      <c r="D237" s="11" t="inlineStr">
        <is>
          <t>Rajshahi GEN-A-2</t>
        </is>
      </c>
      <c r="E237" s="11" t="inlineStr">
        <is>
          <t>Mr. Md. Shahidul Islam</t>
        </is>
      </c>
      <c r="F237" s="10" t="n">
        <v>14899</v>
      </c>
      <c r="G237" s="11" t="inlineStr">
        <is>
          <t>Charghat-2</t>
        </is>
      </c>
      <c r="H237" s="10" t="n">
        <v>9091</v>
      </c>
      <c r="I237" s="11" t="inlineStr">
        <is>
          <t>Mr. Md. Abul Kashem</t>
        </is>
      </c>
      <c r="J237" s="10">
        <f>IF(K237&gt;0, "Completed", "Pending")</f>
        <v/>
      </c>
      <c r="K237" s="10">
        <f>COUNTIF('Survey Responses'!F:F, F237)</f>
        <v/>
      </c>
    </row>
    <row r="238">
      <c r="A238" s="10" t="n">
        <v>237</v>
      </c>
      <c r="B238" s="11" t="inlineStr">
        <is>
          <t>Rajshahi (GEN-A)</t>
        </is>
      </c>
      <c r="C238" s="11" t="inlineStr">
        <is>
          <t>Mr. Masum Ahteshum Habib</t>
        </is>
      </c>
      <c r="D238" s="11" t="inlineStr">
        <is>
          <t>Rajshahi GEN-A-2</t>
        </is>
      </c>
      <c r="E238" s="11" t="inlineStr">
        <is>
          <t>Mr. Md. Shahidul Islam</t>
        </is>
      </c>
      <c r="F238" s="10" t="n">
        <v>10245</v>
      </c>
      <c r="G238" s="11" t="inlineStr">
        <is>
          <t>Noahata</t>
        </is>
      </c>
      <c r="H238" s="10" t="n">
        <v>2736</v>
      </c>
      <c r="I238" s="11" t="inlineStr">
        <is>
          <t>Md. Nazmul Haque</t>
        </is>
      </c>
      <c r="J238" s="10">
        <f>IF(K238&gt;0, "Completed", "Pending")</f>
        <v/>
      </c>
      <c r="K238" s="10">
        <f>COUNTIF('Survey Responses'!F:F, F238)</f>
        <v/>
      </c>
    </row>
    <row r="239">
      <c r="A239" s="10" t="n">
        <v>238</v>
      </c>
      <c r="B239" s="11" t="inlineStr">
        <is>
          <t>Rajshahi (GEN-A)</t>
        </is>
      </c>
      <c r="C239" s="11" t="inlineStr">
        <is>
          <t>Mr. Masum Ahteshum Habib</t>
        </is>
      </c>
      <c r="D239" s="11" t="inlineStr">
        <is>
          <t>Rajshahi GEN-A-2</t>
        </is>
      </c>
      <c r="E239" s="11" t="inlineStr">
        <is>
          <t>Mr. Md. Shahidul Islam</t>
        </is>
      </c>
      <c r="F239" s="10" t="n">
        <v>10259</v>
      </c>
      <c r="G239" s="11" t="inlineStr">
        <is>
          <t>Rajshahi-11</t>
        </is>
      </c>
      <c r="H239" s="10" t="n">
        <v>1573</v>
      </c>
      <c r="I239" s="11" t="inlineStr">
        <is>
          <t>Md. Rezaul Karim</t>
        </is>
      </c>
      <c r="J239" s="10">
        <f>IF(K239&gt;0, "Completed", "Pending")</f>
        <v/>
      </c>
      <c r="K239" s="10">
        <f>COUNTIF('Survey Responses'!F:F, F239)</f>
        <v/>
      </c>
    </row>
    <row r="240">
      <c r="A240" s="10" t="n">
        <v>239</v>
      </c>
      <c r="B240" s="11" t="inlineStr">
        <is>
          <t>Rajshahi (GEN-A)</t>
        </is>
      </c>
      <c r="C240" s="11" t="inlineStr">
        <is>
          <t>Mr. Masum Ahteshum Habib</t>
        </is>
      </c>
      <c r="D240" s="11" t="inlineStr">
        <is>
          <t>Rajshahi GEN-A-2</t>
        </is>
      </c>
      <c r="E240" s="11" t="inlineStr">
        <is>
          <t>Mr. Md. Shahidul Islam</t>
        </is>
      </c>
      <c r="F240" s="10" t="n">
        <v>13649</v>
      </c>
      <c r="G240" s="11" t="inlineStr">
        <is>
          <t>Rajshahi-14</t>
        </is>
      </c>
      <c r="H240" s="10" t="n">
        <v>7280</v>
      </c>
      <c r="I240" s="11" t="inlineStr">
        <is>
          <t>Jani Sikder</t>
        </is>
      </c>
      <c r="J240" s="10">
        <f>IF(K240&gt;0, "Completed", "Pending")</f>
        <v/>
      </c>
      <c r="K240" s="10">
        <f>COUNTIF('Survey Responses'!F:F, F240)</f>
        <v/>
      </c>
    </row>
    <row r="241">
      <c r="A241" s="10" t="n">
        <v>240</v>
      </c>
      <c r="B241" s="11" t="inlineStr">
        <is>
          <t>Rajshahi (GEN-A)</t>
        </is>
      </c>
      <c r="C241" s="11" t="inlineStr">
        <is>
          <t>Mr. Masum Ahteshum Habib</t>
        </is>
      </c>
      <c r="D241" s="11" t="inlineStr">
        <is>
          <t>Rajshahi GEN-A-2</t>
        </is>
      </c>
      <c r="E241" s="11" t="inlineStr">
        <is>
          <t>Mr. Md. Shahidul Islam</t>
        </is>
      </c>
      <c r="F241" s="10" t="n">
        <v>10250</v>
      </c>
      <c r="G241" s="11" t="inlineStr">
        <is>
          <t>Rajshahi-4</t>
        </is>
      </c>
      <c r="H241" s="10" t="n">
        <v>5818</v>
      </c>
      <c r="I241" s="11" t="inlineStr">
        <is>
          <t>Mr. Md. Obaidullah</t>
        </is>
      </c>
      <c r="J241" s="10">
        <f>IF(K241&gt;0, "Completed", "Pending")</f>
        <v/>
      </c>
      <c r="K241" s="10">
        <f>COUNTIF('Survey Responses'!F:F, F241)</f>
        <v/>
      </c>
    </row>
    <row r="242">
      <c r="A242" s="10" t="n">
        <v>241</v>
      </c>
      <c r="B242" s="11" t="inlineStr">
        <is>
          <t>Rajshahi (GEN-A)</t>
        </is>
      </c>
      <c r="C242" s="11" t="inlineStr">
        <is>
          <t>Mr. Masum Ahteshum Habib</t>
        </is>
      </c>
      <c r="D242" s="11" t="inlineStr">
        <is>
          <t>Rajshahi GEN-A-2</t>
        </is>
      </c>
      <c r="E242" s="11" t="inlineStr">
        <is>
          <t>Mr. Md. Shahidul Islam</t>
        </is>
      </c>
      <c r="F242" s="10" t="n">
        <v>10255</v>
      </c>
      <c r="G242" s="11" t="inlineStr">
        <is>
          <t>Rajshahi-8</t>
        </is>
      </c>
      <c r="H242" s="10" t="n">
        <v>7575</v>
      </c>
      <c r="I242" s="11" t="inlineStr">
        <is>
          <t>Mr. Md. Nayem</t>
        </is>
      </c>
      <c r="J242" s="10">
        <f>IF(K242&gt;0, "Completed", "Pending")</f>
        <v/>
      </c>
      <c r="K242" s="10">
        <f>COUNTIF('Survey Responses'!F:F, F242)</f>
        <v/>
      </c>
    </row>
    <row r="243">
      <c r="A243" s="10" t="n">
        <v>242</v>
      </c>
      <c r="B243" s="11" t="inlineStr">
        <is>
          <t>Rajshahi (GEN-A)</t>
        </is>
      </c>
      <c r="C243" s="11" t="inlineStr">
        <is>
          <t>Mr. Masum Ahteshum Habib</t>
        </is>
      </c>
      <c r="D243" s="11" t="inlineStr">
        <is>
          <t>Rajshahi GEN-A-2</t>
        </is>
      </c>
      <c r="E243" s="11" t="inlineStr">
        <is>
          <t>Mr. Md. Shahidul Islam</t>
        </is>
      </c>
      <c r="F243" s="10" t="n">
        <v>10252</v>
      </c>
      <c r="G243" s="11" t="inlineStr">
        <is>
          <t>Rajshahi-9</t>
        </is>
      </c>
      <c r="H243" s="10" t="n">
        <v>8733</v>
      </c>
      <c r="I243" s="11" t="inlineStr">
        <is>
          <t>Mr. Md. Sorwar Akon</t>
        </is>
      </c>
      <c r="J243" s="10">
        <f>IF(K243&gt;0, "Completed", "Pending")</f>
        <v/>
      </c>
      <c r="K243" s="10">
        <f>COUNTIF('Survey Responses'!F:F, F243)</f>
        <v/>
      </c>
    </row>
    <row r="244">
      <c r="A244" s="10" t="n">
        <v>243</v>
      </c>
      <c r="B244" s="11" t="inlineStr">
        <is>
          <t>Rajshahi (GEN-A)</t>
        </is>
      </c>
      <c r="C244" s="11" t="inlineStr">
        <is>
          <t>Mr. Masum Ahteshum Habib</t>
        </is>
      </c>
      <c r="D244" s="11" t="inlineStr">
        <is>
          <t>Rajshahi GEN-A-3</t>
        </is>
      </c>
      <c r="E244" s="11" t="inlineStr">
        <is>
          <t>Fazlul Haque</t>
        </is>
      </c>
      <c r="F244" s="10" t="n">
        <v>12408</v>
      </c>
      <c r="G244" s="11" t="inlineStr">
        <is>
          <t>Bagha-1</t>
        </is>
      </c>
      <c r="H244" s="10" t="n">
        <v>6060</v>
      </c>
      <c r="I244" s="11" t="inlineStr">
        <is>
          <t>Md. Ruhul Amin</t>
        </is>
      </c>
      <c r="J244" s="10">
        <f>IF(K244&gt;0, "Completed", "Pending")</f>
        <v/>
      </c>
      <c r="K244" s="10">
        <f>COUNTIF('Survey Responses'!F:F, F244)</f>
        <v/>
      </c>
    </row>
    <row r="245">
      <c r="A245" s="10" t="n">
        <v>244</v>
      </c>
      <c r="B245" s="11" t="inlineStr">
        <is>
          <t>Rajshahi (GEN-A)</t>
        </is>
      </c>
      <c r="C245" s="11" t="inlineStr">
        <is>
          <t>Mr. Masum Ahteshum Habib</t>
        </is>
      </c>
      <c r="D245" s="11" t="inlineStr">
        <is>
          <t>Rajshahi GEN-A-3</t>
        </is>
      </c>
      <c r="E245" s="11" t="inlineStr">
        <is>
          <t>Fazlul Haque</t>
        </is>
      </c>
      <c r="F245" s="10" t="n">
        <v>12218</v>
      </c>
      <c r="G245" s="11" t="inlineStr">
        <is>
          <t>Mohonpur-1</t>
        </is>
      </c>
      <c r="H245" s="10" t="n">
        <v>3739</v>
      </c>
      <c r="I245" s="11" t="inlineStr">
        <is>
          <t>Mr. Md. Akherul Islam</t>
        </is>
      </c>
      <c r="J245" s="10">
        <f>IF(K245&gt;0, "Completed", "Pending")</f>
        <v/>
      </c>
      <c r="K245" s="10">
        <f>COUNTIF('Survey Responses'!F:F, F245)</f>
        <v/>
      </c>
    </row>
    <row r="246">
      <c r="A246" s="10" t="n">
        <v>245</v>
      </c>
      <c r="B246" s="11" t="inlineStr">
        <is>
          <t>Rajshahi (GEN-A)</t>
        </is>
      </c>
      <c r="C246" s="11" t="inlineStr">
        <is>
          <t>Mr. Masum Ahteshum Habib</t>
        </is>
      </c>
      <c r="D246" s="11" t="inlineStr">
        <is>
          <t>Rajshahi GEN-A-3</t>
        </is>
      </c>
      <c r="E246" s="11" t="inlineStr">
        <is>
          <t>Fazlul Haque</t>
        </is>
      </c>
      <c r="F246" s="10" t="n">
        <v>14605</v>
      </c>
      <c r="G246" s="11" t="inlineStr">
        <is>
          <t>Mohonpur-2</t>
        </is>
      </c>
      <c r="H246" s="10" t="n">
        <v>7689</v>
      </c>
      <c r="I246" s="11" t="inlineStr">
        <is>
          <t>Mr. Raysul Huda</t>
        </is>
      </c>
      <c r="J246" s="10">
        <f>IF(K246&gt;0, "Completed", "Pending")</f>
        <v/>
      </c>
      <c r="K246" s="10">
        <f>COUNTIF('Survey Responses'!F:F, F246)</f>
        <v/>
      </c>
    </row>
    <row r="247">
      <c r="A247" s="10" t="n">
        <v>246</v>
      </c>
      <c r="B247" s="11" t="inlineStr">
        <is>
          <t>Rajshahi (GEN-A)</t>
        </is>
      </c>
      <c r="C247" s="11" t="inlineStr">
        <is>
          <t>Mr. Masum Ahteshum Habib</t>
        </is>
      </c>
      <c r="D247" s="11" t="inlineStr">
        <is>
          <t>Rajshahi GEN-A-3</t>
        </is>
      </c>
      <c r="E247" s="11" t="inlineStr">
        <is>
          <t>Fazlul Haque</t>
        </is>
      </c>
      <c r="F247" s="10" t="n">
        <v>10260</v>
      </c>
      <c r="G247" s="11" t="inlineStr">
        <is>
          <t>Rajshahi-12</t>
        </is>
      </c>
      <c r="H247" s="10" t="n">
        <v>3275</v>
      </c>
      <c r="I247" s="11" t="inlineStr">
        <is>
          <t>Md. Shoriful Islam</t>
        </is>
      </c>
      <c r="J247" s="10">
        <f>IF(K247&gt;0, "Completed", "Pending")</f>
        <v/>
      </c>
      <c r="K247" s="10">
        <f>COUNTIF('Survey Responses'!F:F, F247)</f>
        <v/>
      </c>
    </row>
    <row r="248">
      <c r="A248" s="10" t="n">
        <v>247</v>
      </c>
      <c r="B248" s="11" t="inlineStr">
        <is>
          <t>Rajshahi (GEN-A)</t>
        </is>
      </c>
      <c r="C248" s="11" t="inlineStr">
        <is>
          <t>Mr. Masum Ahteshum Habib</t>
        </is>
      </c>
      <c r="D248" s="11" t="inlineStr">
        <is>
          <t>Rajshahi GEN-A-3</t>
        </is>
      </c>
      <c r="E248" s="11" t="inlineStr">
        <is>
          <t>Fazlul Haque</t>
        </is>
      </c>
      <c r="F248" s="10" t="n">
        <v>14826</v>
      </c>
      <c r="G248" s="11" t="inlineStr">
        <is>
          <t>Rajshahi-15 (RMCH-Popular)</t>
        </is>
      </c>
      <c r="H248" s="10" t="n">
        <v>8851</v>
      </c>
      <c r="I248" s="11" t="inlineStr">
        <is>
          <t>Mr. Md. Nur Alam Khan Zique</t>
        </is>
      </c>
      <c r="J248" s="10">
        <f>IF(K248&gt;0, "Completed", "Pending")</f>
        <v/>
      </c>
      <c r="K248" s="10">
        <f>COUNTIF('Survey Responses'!F:F, F248)</f>
        <v/>
      </c>
    </row>
    <row r="249">
      <c r="A249" s="10" t="n">
        <v>248</v>
      </c>
      <c r="B249" s="11" t="inlineStr">
        <is>
          <t>Rajshahi (GEN-A)</t>
        </is>
      </c>
      <c r="C249" s="11" t="inlineStr">
        <is>
          <t>Mr. Masum Ahteshum Habib</t>
        </is>
      </c>
      <c r="D249" s="11" t="inlineStr">
        <is>
          <t>Rajshahi GEN-A-3</t>
        </is>
      </c>
      <c r="E249" s="11" t="inlineStr">
        <is>
          <t>Fazlul Haque</t>
        </is>
      </c>
      <c r="F249" s="10" t="n">
        <v>10257</v>
      </c>
      <c r="G249" s="11" t="inlineStr">
        <is>
          <t>Rajshahi-2</t>
        </is>
      </c>
      <c r="H249" s="10" t="n">
        <v>1176</v>
      </c>
      <c r="I249" s="11" t="inlineStr">
        <is>
          <t>Mr. Abdul Baten</t>
        </is>
      </c>
      <c r="J249" s="10">
        <f>IF(K249&gt;0, "Completed", "Pending")</f>
        <v/>
      </c>
      <c r="K249" s="10">
        <f>COUNTIF('Survey Responses'!F:F, F249)</f>
        <v/>
      </c>
    </row>
    <row r="250">
      <c r="A250" s="10" t="n">
        <v>249</v>
      </c>
      <c r="B250" s="11" t="inlineStr">
        <is>
          <t>Rajshahi (GEN-A)</t>
        </is>
      </c>
      <c r="C250" s="11" t="inlineStr">
        <is>
          <t>Mr. Masum Ahteshum Habib</t>
        </is>
      </c>
      <c r="D250" s="11" t="inlineStr">
        <is>
          <t>Rajshahi GEN-A-3</t>
        </is>
      </c>
      <c r="E250" s="11" t="inlineStr">
        <is>
          <t>Fazlul Haque</t>
        </is>
      </c>
      <c r="F250" s="10" t="n">
        <v>10256</v>
      </c>
      <c r="G250" s="11" t="inlineStr">
        <is>
          <t>Rajshahi-3</t>
        </is>
      </c>
      <c r="H250" s="10" t="n">
        <v>5462</v>
      </c>
      <c r="I250" s="11" t="inlineStr">
        <is>
          <t>Mr. Md. Mominul Islam</t>
        </is>
      </c>
      <c r="J250" s="10">
        <f>IF(K250&gt;0, "Completed", "Pending")</f>
        <v/>
      </c>
      <c r="K250" s="10">
        <f>COUNTIF('Survey Responses'!F:F, F250)</f>
        <v/>
      </c>
    </row>
    <row r="251">
      <c r="A251" s="10" t="n">
        <v>250</v>
      </c>
      <c r="B251" s="11" t="inlineStr">
        <is>
          <t>Rangpur (GEN-A)</t>
        </is>
      </c>
      <c r="C251" s="11" t="inlineStr">
        <is>
          <t>Mr. Mohammad Emdadul Islam</t>
        </is>
      </c>
      <c r="D251" s="11" t="inlineStr">
        <is>
          <t>Gaibandha GEN-A-1</t>
        </is>
      </c>
      <c r="E251" s="11" t="inlineStr">
        <is>
          <t>Mr. Shahidul Islam</t>
        </is>
      </c>
      <c r="F251" s="10" t="n">
        <v>10235</v>
      </c>
      <c r="G251" s="11" t="inlineStr">
        <is>
          <t>Gaibandha-1</t>
        </is>
      </c>
      <c r="H251" s="10" t="n">
        <v>8772</v>
      </c>
      <c r="I251" s="11" t="inlineStr">
        <is>
          <t>Mr. Zubayerul Islam Abir</t>
        </is>
      </c>
      <c r="J251" s="10">
        <f>IF(K251&gt;0, "Completed", "Pending")</f>
        <v/>
      </c>
      <c r="K251" s="10">
        <f>COUNTIF('Survey Responses'!F:F, F251)</f>
        <v/>
      </c>
    </row>
    <row r="252">
      <c r="A252" s="10" t="n">
        <v>251</v>
      </c>
      <c r="B252" s="11" t="inlineStr">
        <is>
          <t>Rangpur (GEN-A)</t>
        </is>
      </c>
      <c r="C252" s="11" t="inlineStr">
        <is>
          <t>Mr. Mohammad Emdadul Islam</t>
        </is>
      </c>
      <c r="D252" s="11" t="inlineStr">
        <is>
          <t>Gaibandha GEN-A-1</t>
        </is>
      </c>
      <c r="E252" s="11" t="inlineStr">
        <is>
          <t>Mr. Shahidul Islam</t>
        </is>
      </c>
      <c r="F252" s="10" t="n">
        <v>10234</v>
      </c>
      <c r="G252" s="11" t="inlineStr">
        <is>
          <t>Gaibandha-2</t>
        </is>
      </c>
      <c r="H252" s="10" t="n">
        <v>6824</v>
      </c>
      <c r="I252" s="11" t="inlineStr">
        <is>
          <t>Mr. Johurul Islam</t>
        </is>
      </c>
      <c r="J252" s="10">
        <f>IF(K252&gt;0, "Completed", "Pending")</f>
        <v/>
      </c>
      <c r="K252" s="10">
        <f>COUNTIF('Survey Responses'!F:F, F252)</f>
        <v/>
      </c>
    </row>
    <row r="253">
      <c r="A253" s="10" t="n">
        <v>252</v>
      </c>
      <c r="B253" s="11" t="inlineStr">
        <is>
          <t>Rangpur (GEN-A)</t>
        </is>
      </c>
      <c r="C253" s="11" t="inlineStr">
        <is>
          <t>Mr. Mohammad Emdadul Islam</t>
        </is>
      </c>
      <c r="D253" s="11" t="inlineStr">
        <is>
          <t>Gaibandha GEN-A-1</t>
        </is>
      </c>
      <c r="E253" s="11" t="inlineStr">
        <is>
          <t>Mr. Shahidul Islam</t>
        </is>
      </c>
      <c r="F253" s="10" t="n">
        <v>10236</v>
      </c>
      <c r="G253" s="11" t="inlineStr">
        <is>
          <t>Gaibandha-3</t>
        </is>
      </c>
      <c r="H253" s="10" t="n">
        <v>6713</v>
      </c>
      <c r="I253" s="11" t="inlineStr">
        <is>
          <t>Mr. Md. Sohel Rana</t>
        </is>
      </c>
      <c r="J253" s="10">
        <f>IF(K253&gt;0, "Completed", "Pending")</f>
        <v/>
      </c>
      <c r="K253" s="10">
        <f>COUNTIF('Survey Responses'!F:F, F253)</f>
        <v/>
      </c>
    </row>
    <row r="254">
      <c r="A254" s="10" t="n">
        <v>253</v>
      </c>
      <c r="B254" s="11" t="inlineStr">
        <is>
          <t>Rangpur (GEN-A)</t>
        </is>
      </c>
      <c r="C254" s="11" t="inlineStr">
        <is>
          <t>Mr. Mohammad Emdadul Islam</t>
        </is>
      </c>
      <c r="D254" s="11" t="inlineStr">
        <is>
          <t>Gaibandha GEN-A-1</t>
        </is>
      </c>
      <c r="E254" s="11" t="inlineStr">
        <is>
          <t>Mr. Shahidul Islam</t>
        </is>
      </c>
      <c r="F254" s="10" t="n">
        <v>14711</v>
      </c>
      <c r="G254" s="11" t="inlineStr">
        <is>
          <t>Gaibandha-4</t>
        </is>
      </c>
      <c r="H254" s="10" t="n">
        <v>2238</v>
      </c>
      <c r="I254" s="11" t="inlineStr">
        <is>
          <t>Md. Jahangir Alam</t>
        </is>
      </c>
      <c r="J254" s="10">
        <f>IF(K254&gt;0, "Completed", "Pending")</f>
        <v/>
      </c>
      <c r="K254" s="10">
        <f>COUNTIF('Survey Responses'!F:F, F254)</f>
        <v/>
      </c>
    </row>
    <row r="255">
      <c r="A255" s="10" t="n">
        <v>254</v>
      </c>
      <c r="B255" s="11" t="inlineStr">
        <is>
          <t>Rangpur (GEN-A)</t>
        </is>
      </c>
      <c r="C255" s="11" t="inlineStr">
        <is>
          <t>Mr. Mohammad Emdadul Islam</t>
        </is>
      </c>
      <c r="D255" s="11" t="inlineStr">
        <is>
          <t>Gaibandha GEN-A-1</t>
        </is>
      </c>
      <c r="E255" s="11" t="inlineStr">
        <is>
          <t>Mr. Shahidul Islam</t>
        </is>
      </c>
      <c r="F255" s="10" t="n">
        <v>13420</v>
      </c>
      <c r="G255" s="11" t="inlineStr">
        <is>
          <t>Laxmipur Gaibandha-1</t>
        </is>
      </c>
      <c r="H255" s="10" t="n">
        <v>2839</v>
      </c>
      <c r="I255" s="11" t="inlineStr">
        <is>
          <t>Md. Masud Rana</t>
        </is>
      </c>
      <c r="J255" s="10">
        <f>IF(K255&gt;0, "Completed", "Pending")</f>
        <v/>
      </c>
      <c r="K255" s="10">
        <f>COUNTIF('Survey Responses'!F:F, F255)</f>
        <v/>
      </c>
    </row>
    <row r="256">
      <c r="A256" s="10" t="n">
        <v>255</v>
      </c>
      <c r="B256" s="11" t="inlineStr">
        <is>
          <t>Rangpur (GEN-A)</t>
        </is>
      </c>
      <c r="C256" s="11" t="inlineStr">
        <is>
          <t>Mr. Mohammad Emdadul Islam</t>
        </is>
      </c>
      <c r="D256" s="11" t="inlineStr">
        <is>
          <t>Gaibandha GEN-A-1</t>
        </is>
      </c>
      <c r="E256" s="11" t="inlineStr">
        <is>
          <t>Mr. Shahidul Islam</t>
        </is>
      </c>
      <c r="F256" s="10" t="n">
        <v>12596</v>
      </c>
      <c r="G256" s="11" t="inlineStr">
        <is>
          <t>Sadullapur-1</t>
        </is>
      </c>
      <c r="H256" s="10" t="n">
        <v>1461</v>
      </c>
      <c r="I256" s="11" t="inlineStr">
        <is>
          <t>Md. Abdul Aziz</t>
        </is>
      </c>
      <c r="J256" s="10">
        <f>IF(K256&gt;0, "Completed", "Pending")</f>
        <v/>
      </c>
      <c r="K256" s="10">
        <f>COUNTIF('Survey Responses'!F:F, F256)</f>
        <v/>
      </c>
    </row>
    <row r="257">
      <c r="A257" s="10" t="n">
        <v>256</v>
      </c>
      <c r="B257" s="11" t="inlineStr">
        <is>
          <t>Rangpur (GEN-A)</t>
        </is>
      </c>
      <c r="C257" s="11" t="inlineStr">
        <is>
          <t>Mr. Mohammad Emdadul Islam</t>
        </is>
      </c>
      <c r="D257" s="11" t="inlineStr">
        <is>
          <t>Gaibandha GEN-A-1</t>
        </is>
      </c>
      <c r="E257" s="11" t="inlineStr">
        <is>
          <t>Mr. Shahidul Islam</t>
        </is>
      </c>
      <c r="F257" s="10" t="n">
        <v>10238</v>
      </c>
      <c r="G257" s="11" t="inlineStr">
        <is>
          <t>Sundarganj-1</t>
        </is>
      </c>
      <c r="H257" s="10" t="n">
        <v>6251</v>
      </c>
      <c r="I257" s="11" t="inlineStr">
        <is>
          <t>Mr. Md. Shahjahan Ali</t>
        </is>
      </c>
      <c r="J257" s="10">
        <f>IF(K257&gt;0, "Completed", "Pending")</f>
        <v/>
      </c>
      <c r="K257" s="10">
        <f>COUNTIF('Survey Responses'!F:F, F257)</f>
        <v/>
      </c>
    </row>
    <row r="258">
      <c r="A258" s="10" t="n">
        <v>257</v>
      </c>
      <c r="B258" s="11" t="inlineStr">
        <is>
          <t>Rangpur (GEN-A)</t>
        </is>
      </c>
      <c r="C258" s="11" t="inlineStr">
        <is>
          <t>Mr. Mohammad Emdadul Islam</t>
        </is>
      </c>
      <c r="D258" s="11" t="inlineStr">
        <is>
          <t>Gaibandha GEN-A-1</t>
        </is>
      </c>
      <c r="E258" s="11" t="inlineStr">
        <is>
          <t>Mr. Shahidul Islam</t>
        </is>
      </c>
      <c r="F258" s="10" t="n">
        <v>12974</v>
      </c>
      <c r="G258" s="11" t="inlineStr">
        <is>
          <t>Sundarganj-2</t>
        </is>
      </c>
      <c r="H258" s="10" t="n">
        <v>5396</v>
      </c>
      <c r="I258" s="11" t="inlineStr">
        <is>
          <t>Mr. Moniruzzaman</t>
        </is>
      </c>
      <c r="J258" s="10">
        <f>IF(K258&gt;0, "Completed", "Pending")</f>
        <v/>
      </c>
      <c r="K258" s="10">
        <f>COUNTIF('Survey Responses'!F:F, F258)</f>
        <v/>
      </c>
    </row>
    <row r="259">
      <c r="A259" s="10" t="n">
        <v>258</v>
      </c>
      <c r="B259" s="11" t="inlineStr">
        <is>
          <t>Rangpur (GEN-A)</t>
        </is>
      </c>
      <c r="C259" s="11" t="inlineStr">
        <is>
          <t>Mr. Mohammad Emdadul Islam</t>
        </is>
      </c>
      <c r="D259" s="11" t="inlineStr">
        <is>
          <t>Kurigram GEN-A-1</t>
        </is>
      </c>
      <c r="E259" s="11" t="inlineStr">
        <is>
          <t>Md. Sohanur Rahman Samun</t>
        </is>
      </c>
      <c r="F259" s="10" t="n">
        <v>10227</v>
      </c>
      <c r="G259" s="11" t="inlineStr">
        <is>
          <t>Kurigram-1</t>
        </is>
      </c>
      <c r="H259" s="10" t="n">
        <v>7286</v>
      </c>
      <c r="I259" s="11" t="inlineStr">
        <is>
          <t>Md. Zobaidul Islam</t>
        </is>
      </c>
      <c r="J259" s="10">
        <f>IF(K259&gt;0, "Completed", "Pending")</f>
        <v/>
      </c>
      <c r="K259" s="10">
        <f>COUNTIF('Survey Responses'!F:F, F259)</f>
        <v/>
      </c>
    </row>
    <row r="260">
      <c r="A260" s="10" t="n">
        <v>259</v>
      </c>
      <c r="B260" s="11" t="inlineStr">
        <is>
          <t>Rangpur (GEN-A)</t>
        </is>
      </c>
      <c r="C260" s="11" t="inlineStr">
        <is>
          <t>Mr. Mohammad Emdadul Islam</t>
        </is>
      </c>
      <c r="D260" s="11" t="inlineStr">
        <is>
          <t>Kurigram GEN-A-1</t>
        </is>
      </c>
      <c r="E260" s="11" t="inlineStr">
        <is>
          <t>Md. Sohanur Rahman Samun</t>
        </is>
      </c>
      <c r="F260" s="10" t="n">
        <v>10225</v>
      </c>
      <c r="G260" s="11" t="inlineStr">
        <is>
          <t>Kurigram-2</t>
        </is>
      </c>
      <c r="H260" s="10" t="n">
        <v>4029</v>
      </c>
      <c r="I260" s="11" t="inlineStr">
        <is>
          <t>Mr. Dalim Kumar Ray</t>
        </is>
      </c>
      <c r="J260" s="10">
        <f>IF(K260&gt;0, "Completed", "Pending")</f>
        <v/>
      </c>
      <c r="K260" s="10">
        <f>COUNTIF('Survey Responses'!F:F, F260)</f>
        <v/>
      </c>
    </row>
    <row r="261">
      <c r="A261" s="10" t="n">
        <v>260</v>
      </c>
      <c r="B261" s="11" t="inlineStr">
        <is>
          <t>Rangpur (GEN-A)</t>
        </is>
      </c>
      <c r="C261" s="11" t="inlineStr">
        <is>
          <t>Mr. Mohammad Emdadul Islam</t>
        </is>
      </c>
      <c r="D261" s="11" t="inlineStr">
        <is>
          <t>Kurigram GEN-A-1</t>
        </is>
      </c>
      <c r="E261" s="11" t="inlineStr">
        <is>
          <t>Md. Sohanur Rahman Samun</t>
        </is>
      </c>
      <c r="F261" s="10" t="n">
        <v>10228</v>
      </c>
      <c r="G261" s="11" t="inlineStr">
        <is>
          <t>Kurigram-3</t>
        </is>
      </c>
      <c r="H261" s="10" t="n">
        <v>5505</v>
      </c>
      <c r="I261" s="11" t="inlineStr">
        <is>
          <t>Mr. Md. Moshiur Rahman</t>
        </is>
      </c>
      <c r="J261" s="10">
        <f>IF(K261&gt;0, "Completed", "Pending")</f>
        <v/>
      </c>
      <c r="K261" s="10">
        <f>COUNTIF('Survey Responses'!F:F, F261)</f>
        <v/>
      </c>
    </row>
    <row r="262">
      <c r="A262" s="10" t="n">
        <v>261</v>
      </c>
      <c r="B262" s="11" t="inlineStr">
        <is>
          <t>Rangpur (GEN-A)</t>
        </is>
      </c>
      <c r="C262" s="11" t="inlineStr">
        <is>
          <t>Mr. Mohammad Emdadul Islam</t>
        </is>
      </c>
      <c r="D262" s="11" t="inlineStr">
        <is>
          <t>Kurigram GEN-A-1</t>
        </is>
      </c>
      <c r="E262" s="11" t="inlineStr">
        <is>
          <t>Md. Sohanur Rahman Samun</t>
        </is>
      </c>
      <c r="F262" s="10" t="n">
        <v>13035</v>
      </c>
      <c r="G262" s="11" t="inlineStr">
        <is>
          <t>Rajarhat-1</t>
        </is>
      </c>
      <c r="H262" s="10" t="n">
        <v>6388</v>
      </c>
      <c r="I262" s="11" t="inlineStr">
        <is>
          <t>Mr. Milon Chandra Ray</t>
        </is>
      </c>
      <c r="J262" s="10">
        <f>IF(K262&gt;0, "Completed", "Pending")</f>
        <v/>
      </c>
      <c r="K262" s="10">
        <f>COUNTIF('Survey Responses'!F:F, F262)</f>
        <v/>
      </c>
    </row>
    <row r="263">
      <c r="A263" s="10" t="n">
        <v>262</v>
      </c>
      <c r="B263" s="11" t="inlineStr">
        <is>
          <t>Rangpur (GEN-A)</t>
        </is>
      </c>
      <c r="C263" s="11" t="inlineStr">
        <is>
          <t>Mr. Mohammad Emdadul Islam</t>
        </is>
      </c>
      <c r="D263" s="11" t="inlineStr">
        <is>
          <t>Kurigram GEN-A-1</t>
        </is>
      </c>
      <c r="E263" s="11" t="inlineStr">
        <is>
          <t>Md. Sohanur Rahman Samun</t>
        </is>
      </c>
      <c r="F263" s="10" t="n">
        <v>12207</v>
      </c>
      <c r="G263" s="11" t="inlineStr">
        <is>
          <t>Rawmari-1</t>
        </is>
      </c>
      <c r="H263" s="10" t="n">
        <v>3620</v>
      </c>
      <c r="I263" s="11" t="inlineStr">
        <is>
          <t>Mr. Md. Suman Uddin</t>
        </is>
      </c>
      <c r="J263" s="10">
        <f>IF(K263&gt;0, "Completed", "Pending")</f>
        <v/>
      </c>
      <c r="K263" s="10">
        <f>COUNTIF('Survey Responses'!F:F, F263)</f>
        <v/>
      </c>
    </row>
    <row r="264">
      <c r="A264" s="10" t="n">
        <v>263</v>
      </c>
      <c r="B264" s="11" t="inlineStr">
        <is>
          <t>Rangpur (GEN-A)</t>
        </is>
      </c>
      <c r="C264" s="11" t="inlineStr">
        <is>
          <t>Mr. Mohammad Emdadul Islam</t>
        </is>
      </c>
      <c r="D264" s="11" t="inlineStr">
        <is>
          <t>Kurigram GEN-A-1</t>
        </is>
      </c>
      <c r="E264" s="11" t="inlineStr">
        <is>
          <t>Md. Sohanur Rahman Samun</t>
        </is>
      </c>
      <c r="F264" s="10" t="n">
        <v>14893</v>
      </c>
      <c r="G264" s="11" t="inlineStr">
        <is>
          <t>Rawmari-2</t>
        </is>
      </c>
      <c r="H264" s="10" t="n">
        <v>9067</v>
      </c>
      <c r="I264" s="11" t="inlineStr">
        <is>
          <t>Mr. Md. Rahmat Ullah</t>
        </is>
      </c>
      <c r="J264" s="10">
        <f>IF(K264&gt;0, "Completed", "Pending")</f>
        <v/>
      </c>
      <c r="K264" s="10">
        <f>COUNTIF('Survey Responses'!F:F, F264)</f>
        <v/>
      </c>
    </row>
    <row r="265">
      <c r="A265" s="10" t="n">
        <v>264</v>
      </c>
      <c r="B265" s="11" t="inlineStr">
        <is>
          <t>Rangpur (GEN-A)</t>
        </is>
      </c>
      <c r="C265" s="11" t="inlineStr">
        <is>
          <t>Mr. Mohammad Emdadul Islam</t>
        </is>
      </c>
      <c r="D265" s="11" t="inlineStr">
        <is>
          <t>Kurigram GEN-A-1</t>
        </is>
      </c>
      <c r="E265" s="11" t="inlineStr">
        <is>
          <t>Md. Sohanur Rahman Samun</t>
        </is>
      </c>
      <c r="F265" s="10" t="n">
        <v>10224</v>
      </c>
      <c r="G265" s="11" t="inlineStr">
        <is>
          <t>Ulipur-1</t>
        </is>
      </c>
      <c r="H265" s="10" t="n">
        <v>4184</v>
      </c>
      <c r="I265" s="11" t="inlineStr">
        <is>
          <t>Mr. Md. Rezwanul Islam Khan</t>
        </is>
      </c>
      <c r="J265" s="10">
        <f>IF(K265&gt;0, "Completed", "Pending")</f>
        <v/>
      </c>
      <c r="K265" s="10">
        <f>COUNTIF('Survey Responses'!F:F, F265)</f>
        <v/>
      </c>
    </row>
    <row r="266">
      <c r="A266" s="10" t="n">
        <v>265</v>
      </c>
      <c r="B266" s="11" t="inlineStr">
        <is>
          <t>Rangpur (GEN-A)</t>
        </is>
      </c>
      <c r="C266" s="11" t="inlineStr">
        <is>
          <t>Mr. Mohammad Emdadul Islam</t>
        </is>
      </c>
      <c r="D266" s="11" t="inlineStr">
        <is>
          <t>Kurigram GEN-A-1</t>
        </is>
      </c>
      <c r="E266" s="11" t="inlineStr">
        <is>
          <t>Md. Sohanur Rahman Samun</t>
        </is>
      </c>
      <c r="F266" s="10" t="n">
        <v>13655</v>
      </c>
      <c r="G266" s="11" t="inlineStr">
        <is>
          <t>Ulipur-2</t>
        </is>
      </c>
      <c r="H266" s="10" t="n">
        <v>7288</v>
      </c>
      <c r="I266" s="11" t="inlineStr">
        <is>
          <t>Md. Muzahidul Islam</t>
        </is>
      </c>
      <c r="J266" s="10">
        <f>IF(K266&gt;0, "Completed", "Pending")</f>
        <v/>
      </c>
      <c r="K266" s="10">
        <f>COUNTIF('Survey Responses'!F:F, F266)</f>
        <v/>
      </c>
    </row>
    <row r="267">
      <c r="A267" s="10" t="n">
        <v>266</v>
      </c>
      <c r="B267" s="11" t="inlineStr">
        <is>
          <t>Rangpur (GEN-A)</t>
        </is>
      </c>
      <c r="C267" s="11" t="inlineStr">
        <is>
          <t>Mr. Mohammad Emdadul Islam</t>
        </is>
      </c>
      <c r="D267" s="11" t="inlineStr">
        <is>
          <t>Lalmonirhat GEN-A-1</t>
        </is>
      </c>
      <c r="E267" s="11" t="inlineStr">
        <is>
          <t>Md. Rabiul Islam</t>
        </is>
      </c>
      <c r="F267" s="10" t="n">
        <v>10230</v>
      </c>
      <c r="G267" s="11" t="inlineStr">
        <is>
          <t>Hatibandha</t>
        </is>
      </c>
      <c r="H267" s="10" t="n">
        <v>6870</v>
      </c>
      <c r="I267" s="11" t="inlineStr">
        <is>
          <t>Mr. Md. Billal Hossain</t>
        </is>
      </c>
      <c r="J267" s="10">
        <f>IF(K267&gt;0, "Completed", "Pending")</f>
        <v/>
      </c>
      <c r="K267" s="10">
        <f>COUNTIF('Survey Responses'!F:F, F267)</f>
        <v/>
      </c>
    </row>
    <row r="268">
      <c r="A268" s="10" t="n">
        <v>267</v>
      </c>
      <c r="B268" s="11" t="inlineStr">
        <is>
          <t>Rangpur (GEN-A)</t>
        </is>
      </c>
      <c r="C268" s="11" t="inlineStr">
        <is>
          <t>Mr. Mohammad Emdadul Islam</t>
        </is>
      </c>
      <c r="D268" s="11" t="inlineStr">
        <is>
          <t>Lalmonirhat GEN-A-1</t>
        </is>
      </c>
      <c r="E268" s="11" t="inlineStr">
        <is>
          <t>Md. Rabiul Islam</t>
        </is>
      </c>
      <c r="F268" s="10" t="n">
        <v>10233</v>
      </c>
      <c r="G268" s="11" t="inlineStr">
        <is>
          <t>Kaligonj (Rangpur)-1</t>
        </is>
      </c>
      <c r="H268" s="10" t="n">
        <v>2097</v>
      </c>
      <c r="I268" s="11" t="inlineStr">
        <is>
          <t>Nurul Islam</t>
        </is>
      </c>
      <c r="J268" s="10">
        <f>IF(K268&gt;0, "Completed", "Pending")</f>
        <v/>
      </c>
      <c r="K268" s="10">
        <f>COUNTIF('Survey Responses'!F:F, F268)</f>
        <v/>
      </c>
    </row>
    <row r="269">
      <c r="A269" s="10" t="n">
        <v>268</v>
      </c>
      <c r="B269" s="11" t="inlineStr">
        <is>
          <t>Rangpur (GEN-A)</t>
        </is>
      </c>
      <c r="C269" s="11" t="inlineStr">
        <is>
          <t>Mr. Mohammad Emdadul Islam</t>
        </is>
      </c>
      <c r="D269" s="11" t="inlineStr">
        <is>
          <t>Lalmonirhat GEN-A-1</t>
        </is>
      </c>
      <c r="E269" s="11" t="inlineStr">
        <is>
          <t>Md. Rabiul Islam</t>
        </is>
      </c>
      <c r="F269" s="10" t="n">
        <v>13296</v>
      </c>
      <c r="G269" s="11" t="inlineStr">
        <is>
          <t>Kaligonj (Rangpur)-2</t>
        </is>
      </c>
      <c r="H269" s="10" t="n">
        <v>8586</v>
      </c>
      <c r="I269" s="11" t="inlineStr">
        <is>
          <t>Mr. Basar Ali</t>
        </is>
      </c>
      <c r="J269" s="10">
        <f>IF(K269&gt;0, "Completed", "Pending")</f>
        <v/>
      </c>
      <c r="K269" s="10">
        <f>COUNTIF('Survey Responses'!F:F, F269)</f>
        <v/>
      </c>
    </row>
    <row r="270">
      <c r="A270" s="10" t="n">
        <v>269</v>
      </c>
      <c r="B270" s="11" t="inlineStr">
        <is>
          <t>Rangpur (GEN-A)</t>
        </is>
      </c>
      <c r="C270" s="11" t="inlineStr">
        <is>
          <t>Mr. Mohammad Emdadul Islam</t>
        </is>
      </c>
      <c r="D270" s="11" t="inlineStr">
        <is>
          <t>Lalmonirhat GEN-A-1</t>
        </is>
      </c>
      <c r="E270" s="11" t="inlineStr">
        <is>
          <t>Md. Rabiul Islam</t>
        </is>
      </c>
      <c r="F270" s="10" t="n">
        <v>10229</v>
      </c>
      <c r="G270" s="11" t="inlineStr">
        <is>
          <t>Lalmonirhat-1</t>
        </is>
      </c>
      <c r="H270" s="10" t="n">
        <v>2843</v>
      </c>
      <c r="I270" s="11" t="inlineStr">
        <is>
          <t>Palash Chandro Sutradhar</t>
        </is>
      </c>
      <c r="J270" s="10">
        <f>IF(K270&gt;0, "Completed", "Pending")</f>
        <v/>
      </c>
      <c r="K270" s="10">
        <f>COUNTIF('Survey Responses'!F:F, F270)</f>
        <v/>
      </c>
    </row>
    <row r="271">
      <c r="A271" s="10" t="n">
        <v>270</v>
      </c>
      <c r="B271" s="11" t="inlineStr">
        <is>
          <t>Rangpur (GEN-A)</t>
        </is>
      </c>
      <c r="C271" s="11" t="inlineStr">
        <is>
          <t>Mr. Mohammad Emdadul Islam</t>
        </is>
      </c>
      <c r="D271" s="11" t="inlineStr">
        <is>
          <t>Lalmonirhat GEN-A-1</t>
        </is>
      </c>
      <c r="E271" s="11" t="inlineStr">
        <is>
          <t>Md. Rabiul Islam</t>
        </is>
      </c>
      <c r="F271" s="10" t="n">
        <v>10231</v>
      </c>
      <c r="G271" s="11" t="inlineStr">
        <is>
          <t>Lalmonirhat-2</t>
        </is>
      </c>
      <c r="H271" s="10" t="n">
        <v>1708</v>
      </c>
      <c r="I271" s="11" t="inlineStr">
        <is>
          <t>Md. Salim Kabir</t>
        </is>
      </c>
      <c r="J271" s="10">
        <f>IF(K271&gt;0, "Completed", "Pending")</f>
        <v/>
      </c>
      <c r="K271" s="10">
        <f>COUNTIF('Survey Responses'!F:F, F271)</f>
        <v/>
      </c>
    </row>
    <row r="272">
      <c r="A272" s="10" t="n">
        <v>271</v>
      </c>
      <c r="B272" s="11" t="inlineStr">
        <is>
          <t>Rangpur (GEN-A)</t>
        </is>
      </c>
      <c r="C272" s="11" t="inlineStr">
        <is>
          <t>Mr. Mohammad Emdadul Islam</t>
        </is>
      </c>
      <c r="D272" s="11" t="inlineStr">
        <is>
          <t>Lalmonirhat GEN-A-1</t>
        </is>
      </c>
      <c r="E272" s="11" t="inlineStr">
        <is>
          <t>Md. Rabiul Islam</t>
        </is>
      </c>
      <c r="F272" s="10" t="n">
        <v>12914</v>
      </c>
      <c r="G272" s="11" t="inlineStr">
        <is>
          <t>Lalmonirhat-3</t>
        </is>
      </c>
      <c r="H272" s="10" t="n">
        <v>1590</v>
      </c>
      <c r="I272" s="11" t="inlineStr">
        <is>
          <t>Rejwanul Zahid</t>
        </is>
      </c>
      <c r="J272" s="10">
        <f>IF(K272&gt;0, "Completed", "Pending")</f>
        <v/>
      </c>
      <c r="K272" s="10">
        <f>COUNTIF('Survey Responses'!F:F, F272)</f>
        <v/>
      </c>
    </row>
    <row r="273">
      <c r="A273" s="10" t="n">
        <v>272</v>
      </c>
      <c r="B273" s="11" t="inlineStr">
        <is>
          <t>Rangpur (GEN-A)</t>
        </is>
      </c>
      <c r="C273" s="11" t="inlineStr">
        <is>
          <t>Mr. Mohammad Emdadul Islam</t>
        </is>
      </c>
      <c r="D273" s="11" t="inlineStr">
        <is>
          <t>Lalmonirhat GEN-A-1</t>
        </is>
      </c>
      <c r="E273" s="11" t="inlineStr">
        <is>
          <t>Md. Rabiul Islam</t>
        </is>
      </c>
      <c r="F273" s="10" t="n">
        <v>10232</v>
      </c>
      <c r="G273" s="11" t="inlineStr">
        <is>
          <t>Patgram-1</t>
        </is>
      </c>
      <c r="H273" s="10" t="n">
        <v>1798</v>
      </c>
      <c r="I273" s="11" t="inlineStr">
        <is>
          <t>Md. Reazul Islam</t>
        </is>
      </c>
      <c r="J273" s="10">
        <f>IF(K273&gt;0, "Completed", "Pending")</f>
        <v/>
      </c>
      <c r="K273" s="10">
        <f>COUNTIF('Survey Responses'!F:F, F273)</f>
        <v/>
      </c>
    </row>
    <row r="274">
      <c r="A274" s="10" t="n">
        <v>273</v>
      </c>
      <c r="B274" s="11" t="inlineStr">
        <is>
          <t>Rangpur (GEN-A)</t>
        </is>
      </c>
      <c r="C274" s="11" t="inlineStr">
        <is>
          <t>Mr. Mohammad Emdadul Islam</t>
        </is>
      </c>
      <c r="D274" s="11" t="inlineStr">
        <is>
          <t>Lalmonirhat GEN-A-1</t>
        </is>
      </c>
      <c r="E274" s="11" t="inlineStr">
        <is>
          <t>Md. Rabiul Islam</t>
        </is>
      </c>
      <c r="F274" s="10" t="n">
        <v>12566</v>
      </c>
      <c r="G274" s="11" t="inlineStr">
        <is>
          <t>Patgram-2</t>
        </is>
      </c>
      <c r="H274" s="10" t="n">
        <v>6056</v>
      </c>
      <c r="I274" s="11" t="inlineStr">
        <is>
          <t>Md. Jamiul Islam</t>
        </is>
      </c>
      <c r="J274" s="10">
        <f>IF(K274&gt;0, "Completed", "Pending")</f>
        <v/>
      </c>
      <c r="K274" s="10">
        <f>COUNTIF('Survey Responses'!F:F, F274)</f>
        <v/>
      </c>
    </row>
    <row r="275">
      <c r="A275" s="10" t="n">
        <v>274</v>
      </c>
      <c r="B275" s="11" t="inlineStr">
        <is>
          <t>Rangpur (GEN-A)</t>
        </is>
      </c>
      <c r="C275" s="11" t="inlineStr">
        <is>
          <t>Mr. Mohammad Emdadul Islam</t>
        </is>
      </c>
      <c r="D275" s="11" t="inlineStr">
        <is>
          <t>Mithapukur GEN-A-1</t>
        </is>
      </c>
      <c r="E275" s="11" t="inlineStr">
        <is>
          <t>Mr. Amzad Hossain Mia</t>
        </is>
      </c>
      <c r="F275" s="10" t="n">
        <v>10207</v>
      </c>
      <c r="G275" s="11" t="inlineStr">
        <is>
          <t>Bodorgonj-1</t>
        </is>
      </c>
      <c r="H275" s="10" t="n">
        <v>7314</v>
      </c>
      <c r="I275" s="11" t="inlineStr">
        <is>
          <t>Md. Mohsin Reza</t>
        </is>
      </c>
      <c r="J275" s="10">
        <f>IF(K275&gt;0, "Completed", "Pending")</f>
        <v/>
      </c>
      <c r="K275" s="10">
        <f>COUNTIF('Survey Responses'!F:F, F275)</f>
        <v/>
      </c>
    </row>
    <row r="276">
      <c r="A276" s="10" t="n">
        <v>275</v>
      </c>
      <c r="B276" s="11" t="inlineStr">
        <is>
          <t>Rangpur (GEN-A)</t>
        </is>
      </c>
      <c r="C276" s="11" t="inlineStr">
        <is>
          <t>Mr. Mohammad Emdadul Islam</t>
        </is>
      </c>
      <c r="D276" s="11" t="inlineStr">
        <is>
          <t>Mithapukur GEN-A-1</t>
        </is>
      </c>
      <c r="E276" s="11" t="inlineStr">
        <is>
          <t>Mr. Amzad Hossain Mia</t>
        </is>
      </c>
      <c r="F276" s="10" t="n">
        <v>12567</v>
      </c>
      <c r="G276" s="11" t="inlineStr">
        <is>
          <t>Bodorgonj-2</t>
        </is>
      </c>
      <c r="H276" s="10" t="n">
        <v>5623</v>
      </c>
      <c r="I276" s="11" t="inlineStr">
        <is>
          <t>Mr. Md. Aunar Kali</t>
        </is>
      </c>
      <c r="J276" s="10">
        <f>IF(K276&gt;0, "Completed", "Pending")</f>
        <v/>
      </c>
      <c r="K276" s="10">
        <f>COUNTIF('Survey Responses'!F:F, F276)</f>
        <v/>
      </c>
    </row>
    <row r="277">
      <c r="A277" s="10" t="n">
        <v>276</v>
      </c>
      <c r="B277" s="11" t="inlineStr">
        <is>
          <t>Rangpur (GEN-A)</t>
        </is>
      </c>
      <c r="C277" s="11" t="inlineStr">
        <is>
          <t>Mr. Mohammad Emdadul Islam</t>
        </is>
      </c>
      <c r="D277" s="11" t="inlineStr">
        <is>
          <t>Mithapukur GEN-A-1</t>
        </is>
      </c>
      <c r="E277" s="11" t="inlineStr">
        <is>
          <t>Mr. Amzad Hossain Mia</t>
        </is>
      </c>
      <c r="F277" s="10" t="n">
        <v>10217</v>
      </c>
      <c r="G277" s="11" t="inlineStr">
        <is>
          <t>Mithapukur-1</t>
        </is>
      </c>
      <c r="H277" s="10" t="n">
        <v>1517</v>
      </c>
      <c r="I277" s="11" t="inlineStr">
        <is>
          <t>Md. Sahabul Islam</t>
        </is>
      </c>
      <c r="J277" s="10">
        <f>IF(K277&gt;0, "Completed", "Pending")</f>
        <v/>
      </c>
      <c r="K277" s="10">
        <f>COUNTIF('Survey Responses'!F:F, F277)</f>
        <v/>
      </c>
    </row>
    <row r="278">
      <c r="A278" s="10" t="n">
        <v>277</v>
      </c>
      <c r="B278" s="11" t="inlineStr">
        <is>
          <t>Rangpur (GEN-A)</t>
        </is>
      </c>
      <c r="C278" s="11" t="inlineStr">
        <is>
          <t>Mr. Mohammad Emdadul Islam</t>
        </is>
      </c>
      <c r="D278" s="11" t="inlineStr">
        <is>
          <t>Mithapukur GEN-A-1</t>
        </is>
      </c>
      <c r="E278" s="11" t="inlineStr">
        <is>
          <t>Mr. Amzad Hossain Mia</t>
        </is>
      </c>
      <c r="F278" s="10" t="n">
        <v>12235</v>
      </c>
      <c r="G278" s="11" t="inlineStr">
        <is>
          <t>Mithapukur-2</t>
        </is>
      </c>
      <c r="H278" s="10" t="n">
        <v>691</v>
      </c>
      <c r="I278" s="11" t="inlineStr">
        <is>
          <t>Md. Azizur Rahman</t>
        </is>
      </c>
      <c r="J278" s="10">
        <f>IF(K278&gt;0, "Completed", "Pending")</f>
        <v/>
      </c>
      <c r="K278" s="10">
        <f>COUNTIF('Survey Responses'!F:F, F278)</f>
        <v/>
      </c>
    </row>
    <row r="279">
      <c r="A279" s="10" t="n">
        <v>278</v>
      </c>
      <c r="B279" s="11" t="inlineStr">
        <is>
          <t>Rangpur (GEN-A)</t>
        </is>
      </c>
      <c r="C279" s="11" t="inlineStr">
        <is>
          <t>Mr. Mohammad Emdadul Islam</t>
        </is>
      </c>
      <c r="D279" s="11" t="inlineStr">
        <is>
          <t>Mithapukur GEN-A-1</t>
        </is>
      </c>
      <c r="E279" s="11" t="inlineStr">
        <is>
          <t>Mr. Amzad Hossain Mia</t>
        </is>
      </c>
      <c r="F279" s="10" t="n">
        <v>13656</v>
      </c>
      <c r="G279" s="11" t="inlineStr">
        <is>
          <t>Mithapukur-3</t>
        </is>
      </c>
      <c r="H279" s="10" t="n">
        <v>7289</v>
      </c>
      <c r="I279" s="11" t="inlineStr">
        <is>
          <t>Md. Monirul</t>
        </is>
      </c>
      <c r="J279" s="10">
        <f>IF(K279&gt;0, "Completed", "Pending")</f>
        <v/>
      </c>
      <c r="K279" s="10">
        <f>COUNTIF('Survey Responses'!F:F, F279)</f>
        <v/>
      </c>
    </row>
    <row r="280">
      <c r="A280" s="10" t="n">
        <v>279</v>
      </c>
      <c r="B280" s="11" t="inlineStr">
        <is>
          <t>Rangpur (GEN-A)</t>
        </is>
      </c>
      <c r="C280" s="11" t="inlineStr">
        <is>
          <t>Mr. Mohammad Emdadul Islam</t>
        </is>
      </c>
      <c r="D280" s="11" t="inlineStr">
        <is>
          <t>Mithapukur GEN-A-1</t>
        </is>
      </c>
      <c r="E280" s="11" t="inlineStr">
        <is>
          <t>Mr. Amzad Hossain Mia</t>
        </is>
      </c>
      <c r="F280" s="10" t="n">
        <v>10237</v>
      </c>
      <c r="G280" s="11" t="inlineStr">
        <is>
          <t>Pirganj (Gaibandha)</t>
        </is>
      </c>
      <c r="H280" s="10" t="n">
        <v>5473</v>
      </c>
      <c r="I280" s="11" t="inlineStr">
        <is>
          <t>Mr. Md. Shahin Kadir</t>
        </is>
      </c>
      <c r="J280" s="10">
        <f>IF(K280&gt;0, "Completed", "Pending")</f>
        <v/>
      </c>
      <c r="K280" s="10">
        <f>COUNTIF('Survey Responses'!F:F, F280)</f>
        <v/>
      </c>
    </row>
    <row r="281">
      <c r="A281" s="10" t="n">
        <v>280</v>
      </c>
      <c r="B281" s="11" t="inlineStr">
        <is>
          <t>Rangpur (GEN-A)</t>
        </is>
      </c>
      <c r="C281" s="11" t="inlineStr">
        <is>
          <t>Mr. Mohammad Emdadul Islam</t>
        </is>
      </c>
      <c r="D281" s="11" t="inlineStr">
        <is>
          <t>Mithapukur GEN-A-1</t>
        </is>
      </c>
      <c r="E281" s="11" t="inlineStr">
        <is>
          <t>Mr. Amzad Hossain Mia</t>
        </is>
      </c>
      <c r="F281" s="10" t="n">
        <v>12411</v>
      </c>
      <c r="G281" s="11" t="inlineStr">
        <is>
          <t>Pirganj-2 (Gaibandha)</t>
        </is>
      </c>
      <c r="H281" s="10" t="n">
        <v>3815</v>
      </c>
      <c r="I281" s="11" t="inlineStr">
        <is>
          <t>Mr. Md. Shahin Mia</t>
        </is>
      </c>
      <c r="J281" s="10">
        <f>IF(K281&gt;0, "Completed", "Pending")</f>
        <v/>
      </c>
      <c r="K281" s="10">
        <f>COUNTIF('Survey Responses'!F:F, F281)</f>
        <v/>
      </c>
    </row>
    <row r="282">
      <c r="A282" s="10" t="n">
        <v>281</v>
      </c>
      <c r="B282" s="11" t="inlineStr">
        <is>
          <t>Rangpur (GEN-A)</t>
        </is>
      </c>
      <c r="C282" s="11" t="inlineStr">
        <is>
          <t>Mr. Mohammad Emdadul Islam</t>
        </is>
      </c>
      <c r="D282" s="11" t="inlineStr">
        <is>
          <t>Mithapukur GEN-A-1</t>
        </is>
      </c>
      <c r="E282" s="11" t="inlineStr">
        <is>
          <t>Mr. Amzad Hossain Mia</t>
        </is>
      </c>
      <c r="F282" s="10" t="n">
        <v>14712</v>
      </c>
      <c r="G282" s="11" t="inlineStr">
        <is>
          <t>Pirganj-3 (Gaibandha)</t>
        </is>
      </c>
      <c r="H282" s="10" t="n">
        <v>3651</v>
      </c>
      <c r="I282" s="11" t="inlineStr">
        <is>
          <t>Mr. Md. Manikuzzaman</t>
        </is>
      </c>
      <c r="J282" s="10">
        <f>IF(K282&gt;0, "Completed", "Pending")</f>
        <v/>
      </c>
      <c r="K282" s="10">
        <f>COUNTIF('Survey Responses'!F:F, F282)</f>
        <v/>
      </c>
    </row>
    <row r="283">
      <c r="A283" s="10" t="n">
        <v>282</v>
      </c>
      <c r="B283" s="11" t="inlineStr">
        <is>
          <t>Rangpur (GEN-A)</t>
        </is>
      </c>
      <c r="C283" s="11" t="inlineStr">
        <is>
          <t>Mr. Mohammad Emdadul Islam</t>
        </is>
      </c>
      <c r="D283" s="11" t="inlineStr">
        <is>
          <t>Nageshwari GEN-A-1</t>
        </is>
      </c>
      <c r="E283" s="11" t="inlineStr">
        <is>
          <t>Md. Nuruzzaman</t>
        </is>
      </c>
      <c r="F283" s="10" t="n">
        <v>10226</v>
      </c>
      <c r="G283" s="11" t="inlineStr">
        <is>
          <t>Bhurungamari-1</t>
        </is>
      </c>
      <c r="H283" s="10" t="n">
        <v>8598</v>
      </c>
      <c r="I283" s="11" t="inlineStr">
        <is>
          <t>Mr. Md. Sohag Mia</t>
        </is>
      </c>
      <c r="J283" s="10">
        <f>IF(K283&gt;0, "Completed", "Pending")</f>
        <v/>
      </c>
      <c r="K283" s="10">
        <f>COUNTIF('Survey Responses'!F:F, F283)</f>
        <v/>
      </c>
    </row>
    <row r="284">
      <c r="A284" s="10" t="n">
        <v>283</v>
      </c>
      <c r="B284" s="11" t="inlineStr">
        <is>
          <t>Rangpur (GEN-A)</t>
        </is>
      </c>
      <c r="C284" s="11" t="inlineStr">
        <is>
          <t>Mr. Mohammad Emdadul Islam</t>
        </is>
      </c>
      <c r="D284" s="11" t="inlineStr">
        <is>
          <t>Nageshwari GEN-A-1</t>
        </is>
      </c>
      <c r="E284" s="11" t="inlineStr">
        <is>
          <t>Md. Nuruzzaman</t>
        </is>
      </c>
      <c r="F284" s="10" t="n">
        <v>12568</v>
      </c>
      <c r="G284" s="11" t="inlineStr">
        <is>
          <t>Bhurungamari-2</t>
        </is>
      </c>
      <c r="H284" s="10" t="n">
        <v>3986</v>
      </c>
      <c r="I284" s="11" t="inlineStr">
        <is>
          <t>Mr. Md. Shahinur Islam</t>
        </is>
      </c>
      <c r="J284" s="10">
        <f>IF(K284&gt;0, "Completed", "Pending")</f>
        <v/>
      </c>
      <c r="K284" s="10">
        <f>COUNTIF('Survey Responses'!F:F, F284)</f>
        <v/>
      </c>
    </row>
    <row r="285">
      <c r="A285" s="10" t="n">
        <v>284</v>
      </c>
      <c r="B285" s="11" t="inlineStr">
        <is>
          <t>Rangpur (GEN-A)</t>
        </is>
      </c>
      <c r="C285" s="11" t="inlineStr">
        <is>
          <t>Mr. Mohammad Emdadul Islam</t>
        </is>
      </c>
      <c r="D285" s="11" t="inlineStr">
        <is>
          <t>Nageshwari GEN-A-1</t>
        </is>
      </c>
      <c r="E285" s="11" t="inlineStr">
        <is>
          <t>Md. Nuruzzaman</t>
        </is>
      </c>
      <c r="F285" s="10" t="n">
        <v>14080</v>
      </c>
      <c r="G285" s="11" t="inlineStr">
        <is>
          <t>Bhurungamari-3</t>
        </is>
      </c>
      <c r="H285" s="10" t="n">
        <v>966</v>
      </c>
      <c r="I285" s="11" t="inlineStr">
        <is>
          <t>Md. Mojammel Haque Manik</t>
        </is>
      </c>
      <c r="J285" s="10">
        <f>IF(K285&gt;0, "Completed", "Pending")</f>
        <v/>
      </c>
      <c r="K285" s="10">
        <f>COUNTIF('Survey Responses'!F:F, F285)</f>
        <v/>
      </c>
    </row>
    <row r="286">
      <c r="A286" s="10" t="n">
        <v>285</v>
      </c>
      <c r="B286" s="11" t="inlineStr">
        <is>
          <t>Rangpur (GEN-A)</t>
        </is>
      </c>
      <c r="C286" s="11" t="inlineStr">
        <is>
          <t>Mr. Mohammad Emdadul Islam</t>
        </is>
      </c>
      <c r="D286" s="11" t="inlineStr">
        <is>
          <t>Nageshwari GEN-A-1</t>
        </is>
      </c>
      <c r="E286" s="11" t="inlineStr">
        <is>
          <t>Md. Nuruzzaman</t>
        </is>
      </c>
      <c r="F286" s="10" t="n">
        <v>10222</v>
      </c>
      <c r="G286" s="11" t="inlineStr">
        <is>
          <t>Nageshwari-1</t>
        </is>
      </c>
      <c r="H286" s="10" t="n">
        <v>8773</v>
      </c>
      <c r="I286" s="11" t="inlineStr">
        <is>
          <t>Mr. Md. Bulbul Ahammad</t>
        </is>
      </c>
      <c r="J286" s="10">
        <f>IF(K286&gt;0, "Completed", "Pending")</f>
        <v/>
      </c>
      <c r="K286" s="10">
        <f>COUNTIF('Survey Responses'!F:F, F286)</f>
        <v/>
      </c>
    </row>
    <row r="287">
      <c r="A287" s="10" t="n">
        <v>286</v>
      </c>
      <c r="B287" s="11" t="inlineStr">
        <is>
          <t>Rangpur (GEN-A)</t>
        </is>
      </c>
      <c r="C287" s="11" t="inlineStr">
        <is>
          <t>Mr. Mohammad Emdadul Islam</t>
        </is>
      </c>
      <c r="D287" s="11" t="inlineStr">
        <is>
          <t>Nageshwari GEN-A-1</t>
        </is>
      </c>
      <c r="E287" s="11" t="inlineStr">
        <is>
          <t>Md. Nuruzzaman</t>
        </is>
      </c>
      <c r="F287" s="10" t="n">
        <v>10223</v>
      </c>
      <c r="G287" s="11" t="inlineStr">
        <is>
          <t>Nageshwari-2</t>
        </is>
      </c>
      <c r="H287" s="10" t="n">
        <v>8736</v>
      </c>
      <c r="I287" s="11" t="inlineStr">
        <is>
          <t>Mr. Shah Adil</t>
        </is>
      </c>
      <c r="J287" s="10">
        <f>IF(K287&gt;0, "Completed", "Pending")</f>
        <v/>
      </c>
      <c r="K287" s="10">
        <f>COUNTIF('Survey Responses'!F:F, F287)</f>
        <v/>
      </c>
    </row>
    <row r="288">
      <c r="A288" s="10" t="n">
        <v>287</v>
      </c>
      <c r="B288" s="11" t="inlineStr">
        <is>
          <t>Rangpur (GEN-A)</t>
        </is>
      </c>
      <c r="C288" s="11" t="inlineStr">
        <is>
          <t>Mr. Mohammad Emdadul Islam</t>
        </is>
      </c>
      <c r="D288" s="11" t="inlineStr">
        <is>
          <t>Nageshwari GEN-A-1</t>
        </is>
      </c>
      <c r="E288" s="11" t="inlineStr">
        <is>
          <t>Md. Nuruzzaman</t>
        </is>
      </c>
      <c r="F288" s="10" t="n">
        <v>14502</v>
      </c>
      <c r="G288" s="11" t="inlineStr">
        <is>
          <t>Nageshwari-3</t>
        </is>
      </c>
      <c r="H288" s="10" t="n">
        <v>7659</v>
      </c>
      <c r="I288" s="11" t="inlineStr">
        <is>
          <t>Mr. Md. Toufiquzzaman</t>
        </is>
      </c>
      <c r="J288" s="10">
        <f>IF(K288&gt;0, "Completed", "Pending")</f>
        <v/>
      </c>
      <c r="K288" s="10">
        <f>COUNTIF('Survey Responses'!F:F, F288)</f>
        <v/>
      </c>
    </row>
    <row r="289">
      <c r="A289" s="10" t="n">
        <v>288</v>
      </c>
      <c r="B289" s="11" t="inlineStr">
        <is>
          <t>Rangpur (GEN-A)</t>
        </is>
      </c>
      <c r="C289" s="11" t="inlineStr">
        <is>
          <t>Mr. Mohammad Emdadul Islam</t>
        </is>
      </c>
      <c r="D289" s="11" t="inlineStr">
        <is>
          <t>Nageshwari GEN-A-1</t>
        </is>
      </c>
      <c r="E289" s="11" t="inlineStr">
        <is>
          <t>Md. Nuruzzaman</t>
        </is>
      </c>
      <c r="F289" s="10" t="n">
        <v>12286</v>
      </c>
      <c r="G289" s="11" t="inlineStr">
        <is>
          <t>Phulbari-1 (Kurigram)</t>
        </is>
      </c>
      <c r="H289" s="10" t="n">
        <v>3665</v>
      </c>
      <c r="I289" s="11" t="inlineStr">
        <is>
          <t>Mr. Md. Samim Akter</t>
        </is>
      </c>
      <c r="J289" s="10">
        <f>IF(K289&gt;0, "Completed", "Pending")</f>
        <v/>
      </c>
      <c r="K289" s="10">
        <f>COUNTIF('Survey Responses'!F:F, F289)</f>
        <v/>
      </c>
    </row>
    <row r="290">
      <c r="A290" s="10" t="n">
        <v>289</v>
      </c>
      <c r="B290" s="11" t="inlineStr">
        <is>
          <t>Rangpur (GEN-A)</t>
        </is>
      </c>
      <c r="C290" s="11" t="inlineStr">
        <is>
          <t>Mr. Mohammad Emdadul Islam</t>
        </is>
      </c>
      <c r="D290" s="11" t="inlineStr">
        <is>
          <t>Rangpur GEN-A-1</t>
        </is>
      </c>
      <c r="E290" s="11" t="inlineStr">
        <is>
          <t>Mr. Md. Moniruzzaman</t>
        </is>
      </c>
      <c r="F290" s="10" t="n">
        <v>10211</v>
      </c>
      <c r="G290" s="11" t="inlineStr">
        <is>
          <t>Pirgacha-1</t>
        </is>
      </c>
      <c r="H290" s="10" t="n">
        <v>8645</v>
      </c>
      <c r="I290" s="11" t="inlineStr">
        <is>
          <t xml:space="preserve">Mr. Suzon Mia </t>
        </is>
      </c>
      <c r="J290" s="10">
        <f>IF(K290&gt;0, "Completed", "Pending")</f>
        <v/>
      </c>
      <c r="K290" s="10">
        <f>COUNTIF('Survey Responses'!F:F, F290)</f>
        <v/>
      </c>
    </row>
    <row r="291">
      <c r="A291" s="10" t="n">
        <v>290</v>
      </c>
      <c r="B291" s="11" t="inlineStr">
        <is>
          <t>Rangpur (GEN-A)</t>
        </is>
      </c>
      <c r="C291" s="11" t="inlineStr">
        <is>
          <t>Mr. Mohammad Emdadul Islam</t>
        </is>
      </c>
      <c r="D291" s="11" t="inlineStr">
        <is>
          <t>Rangpur GEN-A-1</t>
        </is>
      </c>
      <c r="E291" s="11" t="inlineStr">
        <is>
          <t>Mr. Md. Moniruzzaman</t>
        </is>
      </c>
      <c r="F291" s="10" t="n">
        <v>14074</v>
      </c>
      <c r="G291" s="11" t="inlineStr">
        <is>
          <t>Pirgacha-2</t>
        </is>
      </c>
      <c r="H291" s="10" t="n">
        <v>4174</v>
      </c>
      <c r="I291" s="11" t="inlineStr">
        <is>
          <t>Mr. Noman Ahmmed</t>
        </is>
      </c>
      <c r="J291" s="10">
        <f>IF(K291&gt;0, "Completed", "Pending")</f>
        <v/>
      </c>
      <c r="K291" s="10">
        <f>COUNTIF('Survey Responses'!F:F, F291)</f>
        <v/>
      </c>
    </row>
    <row r="292">
      <c r="A292" s="10" t="n">
        <v>291</v>
      </c>
      <c r="B292" s="11" t="inlineStr">
        <is>
          <t>Rangpur (GEN-A)</t>
        </is>
      </c>
      <c r="C292" s="11" t="inlineStr">
        <is>
          <t>Mr. Mohammad Emdadul Islam</t>
        </is>
      </c>
      <c r="D292" s="11" t="inlineStr">
        <is>
          <t>Rangpur GEN-A-1</t>
        </is>
      </c>
      <c r="E292" s="11" t="inlineStr">
        <is>
          <t>Mr. Md. Moniruzzaman</t>
        </is>
      </c>
      <c r="F292" s="10" t="n">
        <v>10205</v>
      </c>
      <c r="G292" s="11" t="inlineStr">
        <is>
          <t>Rangpur-11</t>
        </is>
      </c>
      <c r="H292" s="10" t="n">
        <v>7647</v>
      </c>
      <c r="I292" s="11" t="inlineStr">
        <is>
          <t>Mr. Md. Imran Hossain</t>
        </is>
      </c>
      <c r="J292" s="10">
        <f>IF(K292&gt;0, "Completed", "Pending")</f>
        <v/>
      </c>
      <c r="K292" s="10">
        <f>COUNTIF('Survey Responses'!F:F, F292)</f>
        <v/>
      </c>
    </row>
    <row r="293">
      <c r="A293" s="10" t="n">
        <v>292</v>
      </c>
      <c r="B293" s="11" t="inlineStr">
        <is>
          <t>Rangpur (GEN-A)</t>
        </is>
      </c>
      <c r="C293" s="11" t="inlineStr">
        <is>
          <t>Mr. Mohammad Emdadul Islam</t>
        </is>
      </c>
      <c r="D293" s="11" t="inlineStr">
        <is>
          <t>Rangpur GEN-A-1</t>
        </is>
      </c>
      <c r="E293" s="11" t="inlineStr">
        <is>
          <t>Mr. Md. Moniruzzaman</t>
        </is>
      </c>
      <c r="F293" s="10" t="n">
        <v>10213</v>
      </c>
      <c r="G293" s="11" t="inlineStr">
        <is>
          <t>Rangpur-16</t>
        </is>
      </c>
      <c r="H293" s="10" t="n">
        <v>1388</v>
      </c>
      <c r="I293" s="11" t="inlineStr">
        <is>
          <t>Md. Anisuzzaman</t>
        </is>
      </c>
      <c r="J293" s="10">
        <f>IF(K293&gt;0, "Completed", "Pending")</f>
        <v/>
      </c>
      <c r="K293" s="10">
        <f>COUNTIF('Survey Responses'!F:F, F293)</f>
        <v/>
      </c>
    </row>
    <row r="294">
      <c r="A294" s="10" t="n">
        <v>293</v>
      </c>
      <c r="B294" s="11" t="inlineStr">
        <is>
          <t>Rangpur (GEN-A)</t>
        </is>
      </c>
      <c r="C294" s="11" t="inlineStr">
        <is>
          <t>Mr. Mohammad Emdadul Islam</t>
        </is>
      </c>
      <c r="D294" s="11" t="inlineStr">
        <is>
          <t>Rangpur GEN-A-1</t>
        </is>
      </c>
      <c r="E294" s="11" t="inlineStr">
        <is>
          <t>Mr. Md. Moniruzzaman</t>
        </is>
      </c>
      <c r="F294" s="10" t="n">
        <v>14862</v>
      </c>
      <c r="G294" s="11" t="inlineStr">
        <is>
          <t>Rangpur-18 (RpMCH-Community Medical-3)</t>
        </is>
      </c>
      <c r="H294" s="10" t="n">
        <v>8979</v>
      </c>
      <c r="I294" s="11" t="inlineStr">
        <is>
          <t>Mr. Mortaza Tias Ul Alam</t>
        </is>
      </c>
      <c r="J294" s="10">
        <f>IF(K294&gt;0, "Completed", "Pending")</f>
        <v/>
      </c>
      <c r="K294" s="10">
        <f>COUNTIF('Survey Responses'!F:F, F294)</f>
        <v/>
      </c>
    </row>
    <row r="295">
      <c r="A295" s="10" t="n">
        <v>294</v>
      </c>
      <c r="B295" s="11" t="inlineStr">
        <is>
          <t>Rangpur (GEN-A)</t>
        </is>
      </c>
      <c r="C295" s="11" t="inlineStr">
        <is>
          <t>Mr. Mohammad Emdadul Islam</t>
        </is>
      </c>
      <c r="D295" s="11" t="inlineStr">
        <is>
          <t>Rangpur GEN-A-1</t>
        </is>
      </c>
      <c r="E295" s="11" t="inlineStr">
        <is>
          <t>Mr. Md. Moniruzzaman</t>
        </is>
      </c>
      <c r="F295" s="10" t="n">
        <v>13662</v>
      </c>
      <c r="G295" s="11" t="inlineStr">
        <is>
          <t>Rangpur-2</t>
        </is>
      </c>
      <c r="H295" s="10" t="n">
        <v>7287</v>
      </c>
      <c r="I295" s="11" t="inlineStr">
        <is>
          <t>Md. Shiwamujjaman</t>
        </is>
      </c>
      <c r="J295" s="10">
        <f>IF(K295&gt;0, "Completed", "Pending")</f>
        <v/>
      </c>
      <c r="K295" s="10">
        <f>COUNTIF('Survey Responses'!F:F, F295)</f>
        <v/>
      </c>
    </row>
    <row r="296">
      <c r="A296" s="10" t="n">
        <v>295</v>
      </c>
      <c r="B296" s="11" t="inlineStr">
        <is>
          <t>Rangpur (GEN-A)</t>
        </is>
      </c>
      <c r="C296" s="11" t="inlineStr">
        <is>
          <t>Mr. Mohammad Emdadul Islam</t>
        </is>
      </c>
      <c r="D296" s="11" t="inlineStr">
        <is>
          <t>Rangpur GEN-A-1</t>
        </is>
      </c>
      <c r="E296" s="11" t="inlineStr">
        <is>
          <t>Mr. Md. Moniruzzaman</t>
        </is>
      </c>
      <c r="F296" s="10" t="n">
        <v>10202</v>
      </c>
      <c r="G296" s="11" t="inlineStr">
        <is>
          <t>Rangpur-3</t>
        </is>
      </c>
      <c r="H296" s="10" t="n">
        <v>2529</v>
      </c>
      <c r="I296" s="11" t="inlineStr">
        <is>
          <t>Bipul Kumar</t>
        </is>
      </c>
      <c r="J296" s="10">
        <f>IF(K296&gt;0, "Completed", "Pending")</f>
        <v/>
      </c>
      <c r="K296" s="10">
        <f>COUNTIF('Survey Responses'!F:F, F296)</f>
        <v/>
      </c>
    </row>
    <row r="297">
      <c r="A297" s="10" t="n">
        <v>296</v>
      </c>
      <c r="B297" s="11" t="inlineStr">
        <is>
          <t>Rangpur (GEN-A)</t>
        </is>
      </c>
      <c r="C297" s="11" t="inlineStr">
        <is>
          <t>Mr. Mohammad Emdadul Islam</t>
        </is>
      </c>
      <c r="D297" s="11" t="inlineStr">
        <is>
          <t>Rangpur GEN-A-1</t>
        </is>
      </c>
      <c r="E297" s="11" t="inlineStr">
        <is>
          <t>Mr. Md. Moniruzzaman</t>
        </is>
      </c>
      <c r="F297" s="10" t="n">
        <v>10203</v>
      </c>
      <c r="G297" s="11" t="inlineStr">
        <is>
          <t>Rangpur-6</t>
        </is>
      </c>
      <c r="H297" s="10" t="n">
        <v>1340</v>
      </c>
      <c r="I297" s="11" t="inlineStr">
        <is>
          <t>Md. Zahidul Islam</t>
        </is>
      </c>
      <c r="J297" s="10">
        <f>IF(K297&gt;0, "Completed", "Pending")</f>
        <v/>
      </c>
      <c r="K297" s="10">
        <f>COUNTIF('Survey Responses'!F:F, F297)</f>
        <v/>
      </c>
    </row>
    <row r="298">
      <c r="A298" s="10" t="n">
        <v>297</v>
      </c>
      <c r="B298" s="11" t="inlineStr">
        <is>
          <t>Rangpur (GEN-A)</t>
        </is>
      </c>
      <c r="C298" s="11" t="inlineStr">
        <is>
          <t>Mr. Mohammad Emdadul Islam</t>
        </is>
      </c>
      <c r="D298" s="11" t="inlineStr">
        <is>
          <t>Rangpur GEN-A-2</t>
        </is>
      </c>
      <c r="E298" s="11" t="inlineStr">
        <is>
          <t>Mr. Md. Wahiduzzaman Sarker</t>
        </is>
      </c>
      <c r="F298" s="10" t="n">
        <v>12234</v>
      </c>
      <c r="G298" s="11" t="inlineStr">
        <is>
          <t>Gangachora-1</t>
        </is>
      </c>
      <c r="H298" s="10" t="n">
        <v>2923</v>
      </c>
      <c r="I298" s="11" t="inlineStr">
        <is>
          <t>Md. Hasan Sarker</t>
        </is>
      </c>
      <c r="J298" s="10">
        <f>IF(K298&gt;0, "Completed", "Pending")</f>
        <v/>
      </c>
      <c r="K298" s="10">
        <f>COUNTIF('Survey Responses'!F:F, F298)</f>
        <v/>
      </c>
    </row>
    <row r="299">
      <c r="A299" s="10" t="n">
        <v>298</v>
      </c>
      <c r="B299" s="11" t="inlineStr">
        <is>
          <t>Rangpur (GEN-A)</t>
        </is>
      </c>
      <c r="C299" s="11" t="inlineStr">
        <is>
          <t>Mr. Mohammad Emdadul Islam</t>
        </is>
      </c>
      <c r="D299" s="11" t="inlineStr">
        <is>
          <t>Rangpur GEN-A-2</t>
        </is>
      </c>
      <c r="E299" s="11" t="inlineStr">
        <is>
          <t>Mr. Md. Wahiduzzaman Sarker</t>
        </is>
      </c>
      <c r="F299" s="10" t="n">
        <v>10214</v>
      </c>
      <c r="G299" s="11" t="inlineStr">
        <is>
          <t>Kawnia</t>
        </is>
      </c>
      <c r="H299" s="10" t="n">
        <v>2274</v>
      </c>
      <c r="I299" s="11" t="inlineStr">
        <is>
          <t>Md. Aminur Rahman</t>
        </is>
      </c>
      <c r="J299" s="10">
        <f>IF(K299&gt;0, "Completed", "Pending")</f>
        <v/>
      </c>
      <c r="K299" s="10">
        <f>COUNTIF('Survey Responses'!F:F, F299)</f>
        <v/>
      </c>
    </row>
    <row r="300">
      <c r="A300" s="10" t="n">
        <v>299</v>
      </c>
      <c r="B300" s="11" t="inlineStr">
        <is>
          <t>Rangpur (GEN-A)</t>
        </is>
      </c>
      <c r="C300" s="11" t="inlineStr">
        <is>
          <t>Mr. Mohammad Emdadul Islam</t>
        </is>
      </c>
      <c r="D300" s="11" t="inlineStr">
        <is>
          <t>Rangpur GEN-A-2</t>
        </is>
      </c>
      <c r="E300" s="11" t="inlineStr">
        <is>
          <t>Mr. Md. Wahiduzzaman Sarker</t>
        </is>
      </c>
      <c r="F300" s="10" t="n">
        <v>10210</v>
      </c>
      <c r="G300" s="11" t="inlineStr">
        <is>
          <t>Rangpur-10</t>
        </is>
      </c>
      <c r="H300" s="10" t="n">
        <v>932</v>
      </c>
      <c r="I300" s="11" t="inlineStr">
        <is>
          <t>Md. Saiful Islam</t>
        </is>
      </c>
      <c r="J300" s="10">
        <f>IF(K300&gt;0, "Completed", "Pending")</f>
        <v/>
      </c>
      <c r="K300" s="10">
        <f>COUNTIF('Survey Responses'!F:F, F300)</f>
        <v/>
      </c>
    </row>
    <row r="301">
      <c r="A301" s="10" t="n">
        <v>300</v>
      </c>
      <c r="B301" s="11" t="inlineStr">
        <is>
          <t>Rangpur (GEN-A)</t>
        </is>
      </c>
      <c r="C301" s="11" t="inlineStr">
        <is>
          <t>Mr. Mohammad Emdadul Islam</t>
        </is>
      </c>
      <c r="D301" s="11" t="inlineStr">
        <is>
          <t>Rangpur GEN-A-2</t>
        </is>
      </c>
      <c r="E301" s="11" t="inlineStr">
        <is>
          <t>Mr. Md. Wahiduzzaman Sarker</t>
        </is>
      </c>
      <c r="F301" s="10" t="n">
        <v>10212</v>
      </c>
      <c r="G301" s="11" t="inlineStr">
        <is>
          <t>Rangpur-13</t>
        </is>
      </c>
      <c r="H301" s="10" t="n">
        <v>1032</v>
      </c>
      <c r="I301" s="11" t="inlineStr">
        <is>
          <t>Md. Alahi Boks</t>
        </is>
      </c>
      <c r="J301" s="10">
        <f>IF(K301&gt;0, "Completed", "Pending")</f>
        <v/>
      </c>
      <c r="K301" s="10">
        <f>COUNTIF('Survey Responses'!F:F, F301)</f>
        <v/>
      </c>
    </row>
    <row r="302">
      <c r="A302" s="10" t="n">
        <v>301</v>
      </c>
      <c r="B302" s="11" t="inlineStr">
        <is>
          <t>Rangpur (GEN-A)</t>
        </is>
      </c>
      <c r="C302" s="11" t="inlineStr">
        <is>
          <t>Mr. Mohammad Emdadul Islam</t>
        </is>
      </c>
      <c r="D302" s="11" t="inlineStr">
        <is>
          <t>Rangpur GEN-A-2</t>
        </is>
      </c>
      <c r="E302" s="11" t="inlineStr">
        <is>
          <t>Mr. Md. Wahiduzzaman Sarker</t>
        </is>
      </c>
      <c r="F302" s="10" t="n">
        <v>13295</v>
      </c>
      <c r="G302" s="11" t="inlineStr">
        <is>
          <t>Rangpur-17</t>
        </is>
      </c>
      <c r="H302" s="10" t="n">
        <v>2772</v>
      </c>
      <c r="I302" s="11" t="inlineStr">
        <is>
          <t>Md. Saifulalm</t>
        </is>
      </c>
      <c r="J302" s="10">
        <f>IF(K302&gt;0, "Completed", "Pending")</f>
        <v/>
      </c>
      <c r="K302" s="10">
        <f>COUNTIF('Survey Responses'!F:F, F302)</f>
        <v/>
      </c>
    </row>
    <row r="303">
      <c r="A303" s="10" t="n">
        <v>302</v>
      </c>
      <c r="B303" s="11" t="inlineStr">
        <is>
          <t>Rangpur (GEN-A)</t>
        </is>
      </c>
      <c r="C303" s="11" t="inlineStr">
        <is>
          <t>Mr. Mohammad Emdadul Islam</t>
        </is>
      </c>
      <c r="D303" s="11" t="inlineStr">
        <is>
          <t>Rangpur GEN-A-2</t>
        </is>
      </c>
      <c r="E303" s="11" t="inlineStr">
        <is>
          <t>Mr. Md. Wahiduzzaman Sarker</t>
        </is>
      </c>
      <c r="F303" s="10" t="n">
        <v>10209</v>
      </c>
      <c r="G303" s="11" t="inlineStr">
        <is>
          <t>Rangpur-4</t>
        </is>
      </c>
      <c r="H303" s="10" t="n">
        <v>3013</v>
      </c>
      <c r="I303" s="11" t="inlineStr">
        <is>
          <t>Md. Mahatab Hossain</t>
        </is>
      </c>
      <c r="J303" s="10">
        <f>IF(K303&gt;0, "Completed", "Pending")</f>
        <v/>
      </c>
      <c r="K303" s="10">
        <f>COUNTIF('Survey Responses'!F:F, F303)</f>
        <v/>
      </c>
    </row>
    <row r="304">
      <c r="A304" s="10" t="n">
        <v>303</v>
      </c>
      <c r="B304" s="11" t="inlineStr">
        <is>
          <t>Rangpur (GEN-A)</t>
        </is>
      </c>
      <c r="C304" s="11" t="inlineStr">
        <is>
          <t>Mr. Mohammad Emdadul Islam</t>
        </is>
      </c>
      <c r="D304" s="11" t="inlineStr">
        <is>
          <t>Rangpur GEN-A-2</t>
        </is>
      </c>
      <c r="E304" s="11" t="inlineStr">
        <is>
          <t>Mr. Md. Wahiduzzaman Sarker</t>
        </is>
      </c>
      <c r="F304" s="10" t="n">
        <v>10208</v>
      </c>
      <c r="G304" s="11" t="inlineStr">
        <is>
          <t>Rangpur-5</t>
        </is>
      </c>
      <c r="H304" s="10" t="n">
        <v>6042</v>
      </c>
      <c r="I304" s="11" t="inlineStr">
        <is>
          <t>Mr. Md. Sarwar Jahan</t>
        </is>
      </c>
      <c r="J304" s="10">
        <f>IF(K304&gt;0, "Completed", "Pending")</f>
        <v/>
      </c>
      <c r="K304" s="10">
        <f>COUNTIF('Survey Responses'!F:F, F304)</f>
        <v/>
      </c>
    </row>
    <row r="305">
      <c r="A305" s="10" t="n">
        <v>304</v>
      </c>
      <c r="B305" s="11" t="inlineStr">
        <is>
          <t>Rangpur (GEN-A)</t>
        </is>
      </c>
      <c r="C305" s="11" t="inlineStr">
        <is>
          <t>Mr. Mohammad Emdadul Islam</t>
        </is>
      </c>
      <c r="D305" s="11" t="inlineStr">
        <is>
          <t>Rangpur GEN-A-3</t>
        </is>
      </c>
      <c r="E305" s="11" t="inlineStr">
        <is>
          <t>Mr. Raqibul Hasan</t>
        </is>
      </c>
      <c r="F305" s="10" t="n">
        <v>10201</v>
      </c>
      <c r="G305" s="11" t="inlineStr">
        <is>
          <t>Rangpur-1</t>
        </is>
      </c>
      <c r="H305" s="10" t="n">
        <v>8846</v>
      </c>
      <c r="I305" s="11" t="inlineStr">
        <is>
          <t>Mr. Md. Maruf Hossain</t>
        </is>
      </c>
      <c r="J305" s="10">
        <f>IF(K305&gt;0, "Completed", "Pending")</f>
        <v/>
      </c>
      <c r="K305" s="10">
        <f>COUNTIF('Survey Responses'!F:F, F305)</f>
        <v/>
      </c>
    </row>
    <row r="306">
      <c r="A306" s="10" t="n">
        <v>305</v>
      </c>
      <c r="B306" s="11" t="inlineStr">
        <is>
          <t>Rangpur (GEN-A)</t>
        </is>
      </c>
      <c r="C306" s="11" t="inlineStr">
        <is>
          <t>Mr. Mohammad Emdadul Islam</t>
        </is>
      </c>
      <c r="D306" s="11" t="inlineStr">
        <is>
          <t>Rangpur GEN-A-3</t>
        </is>
      </c>
      <c r="E306" s="11" t="inlineStr">
        <is>
          <t>Mr. Raqibul Hasan</t>
        </is>
      </c>
      <c r="F306" s="10" t="n">
        <v>10219</v>
      </c>
      <c r="G306" s="11" t="inlineStr">
        <is>
          <t>Rangpur-12</t>
        </is>
      </c>
      <c r="H306" s="10" t="n">
        <v>2884</v>
      </c>
      <c r="I306" s="11" t="inlineStr">
        <is>
          <t>Md. Shahabuddin</t>
        </is>
      </c>
      <c r="J306" s="10">
        <f>IF(K306&gt;0, "Completed", "Pending")</f>
        <v/>
      </c>
      <c r="K306" s="10">
        <f>COUNTIF('Survey Responses'!F:F, F306)</f>
        <v/>
      </c>
    </row>
    <row r="307">
      <c r="A307" s="10" t="n">
        <v>306</v>
      </c>
      <c r="B307" s="11" t="inlineStr">
        <is>
          <t>Rangpur (GEN-A)</t>
        </is>
      </c>
      <c r="C307" s="11" t="inlineStr">
        <is>
          <t>Mr. Mohammad Emdadul Islam</t>
        </is>
      </c>
      <c r="D307" s="11" t="inlineStr">
        <is>
          <t>Rangpur GEN-A-3</t>
        </is>
      </c>
      <c r="E307" s="11" t="inlineStr">
        <is>
          <t>Mr. Raqibul Hasan</t>
        </is>
      </c>
      <c r="F307" s="10" t="n">
        <v>13192</v>
      </c>
      <c r="G307" s="11" t="inlineStr">
        <is>
          <t>Rangpur-14</t>
        </is>
      </c>
      <c r="H307" s="10" t="n">
        <v>927</v>
      </c>
      <c r="I307" s="11" t="inlineStr">
        <is>
          <t>Md. Masum Billah</t>
        </is>
      </c>
      <c r="J307" s="10">
        <f>IF(K307&gt;0, "Completed", "Pending")</f>
        <v/>
      </c>
      <c r="K307" s="10">
        <f>COUNTIF('Survey Responses'!F:F, F307)</f>
        <v/>
      </c>
    </row>
    <row r="308">
      <c r="A308" s="10" t="n">
        <v>307</v>
      </c>
      <c r="B308" s="11" t="inlineStr">
        <is>
          <t>Rangpur (GEN-A)</t>
        </is>
      </c>
      <c r="C308" s="11" t="inlineStr">
        <is>
          <t>Mr. Mohammad Emdadul Islam</t>
        </is>
      </c>
      <c r="D308" s="11" t="inlineStr">
        <is>
          <t>Rangpur GEN-A-3</t>
        </is>
      </c>
      <c r="E308" s="11" t="inlineStr">
        <is>
          <t>Mr. Raqibul Hasan</t>
        </is>
      </c>
      <c r="F308" s="10" t="n">
        <v>10220</v>
      </c>
      <c r="G308" s="11" t="inlineStr">
        <is>
          <t>Rangpur-15</t>
        </is>
      </c>
      <c r="H308" s="10" t="n">
        <v>7508</v>
      </c>
      <c r="I308" s="11" t="inlineStr">
        <is>
          <t>Mr. Md. Shohag Ali</t>
        </is>
      </c>
      <c r="J308" s="10">
        <f>IF(K308&gt;0, "Completed", "Pending")</f>
        <v/>
      </c>
      <c r="K308" s="10">
        <f>COUNTIF('Survey Responses'!F:F, F308)</f>
        <v/>
      </c>
    </row>
    <row r="309">
      <c r="A309" s="10" t="n">
        <v>308</v>
      </c>
      <c r="B309" s="11" t="inlineStr">
        <is>
          <t>Rangpur (GEN-A)</t>
        </is>
      </c>
      <c r="C309" s="11" t="inlineStr">
        <is>
          <t>Mr. Mohammad Emdadul Islam</t>
        </is>
      </c>
      <c r="D309" s="11" t="inlineStr">
        <is>
          <t>Rangpur GEN-A-3</t>
        </is>
      </c>
      <c r="E309" s="11" t="inlineStr">
        <is>
          <t>Mr. Raqibul Hasan</t>
        </is>
      </c>
      <c r="F309" s="10" t="n">
        <v>10216</v>
      </c>
      <c r="G309" s="11" t="inlineStr">
        <is>
          <t>Rangpur-7</t>
        </is>
      </c>
      <c r="H309" s="10" t="n">
        <v>2396</v>
      </c>
      <c r="I309" s="11" t="inlineStr">
        <is>
          <t>Mr. Proshanto Kumar Sarker</t>
        </is>
      </c>
      <c r="J309" s="10">
        <f>IF(K309&gt;0, "Completed", "Pending")</f>
        <v/>
      </c>
      <c r="K309" s="10">
        <f>COUNTIF('Survey Responses'!F:F, F309)</f>
        <v/>
      </c>
    </row>
    <row r="310">
      <c r="A310" s="10" t="n">
        <v>309</v>
      </c>
      <c r="B310" s="11" t="inlineStr">
        <is>
          <t>Rangpur (GEN-A)</t>
        </is>
      </c>
      <c r="C310" s="11" t="inlineStr">
        <is>
          <t>Mr. Mohammad Emdadul Islam</t>
        </is>
      </c>
      <c r="D310" s="11" t="inlineStr">
        <is>
          <t>Rangpur GEN-A-3</t>
        </is>
      </c>
      <c r="E310" s="11" t="inlineStr">
        <is>
          <t>Mr. Raqibul Hasan</t>
        </is>
      </c>
      <c r="F310" s="10" t="n">
        <v>10218</v>
      </c>
      <c r="G310" s="11" t="inlineStr">
        <is>
          <t>Rangpur-8</t>
        </is>
      </c>
      <c r="H310" s="10" t="n">
        <v>6555</v>
      </c>
      <c r="I310" s="11" t="inlineStr">
        <is>
          <t>Mr. Md. Hridoy Ahmed</t>
        </is>
      </c>
      <c r="J310" s="10">
        <f>IF(K310&gt;0, "Completed", "Pending")</f>
        <v/>
      </c>
      <c r="K310" s="10">
        <f>COUNTIF('Survey Responses'!F:F, F310)</f>
        <v/>
      </c>
    </row>
    <row r="311">
      <c r="A311" s="10" t="n">
        <v>310</v>
      </c>
      <c r="B311" s="11" t="inlineStr">
        <is>
          <t>Rangpur (GEN-A)</t>
        </is>
      </c>
      <c r="C311" s="11" t="inlineStr">
        <is>
          <t>Mr. Mohammad Emdadul Islam</t>
        </is>
      </c>
      <c r="D311" s="11" t="inlineStr">
        <is>
          <t>Rangpur GEN-A-3</t>
        </is>
      </c>
      <c r="E311" s="11" t="inlineStr">
        <is>
          <t>Mr. Raqibul Hasan</t>
        </is>
      </c>
      <c r="F311" s="10" t="n">
        <v>10215</v>
      </c>
      <c r="G311" s="11" t="inlineStr">
        <is>
          <t>Rangpur-9</t>
        </is>
      </c>
      <c r="H311" s="10" t="n">
        <v>7134</v>
      </c>
      <c r="I311" s="11" t="inlineStr">
        <is>
          <t>Mr. Naim Uddin</t>
        </is>
      </c>
      <c r="J311" s="10">
        <f>IF(K311&gt;0, "Completed", "Pending")</f>
        <v/>
      </c>
      <c r="K311" s="10">
        <f>COUNTIF('Survey Responses'!F:F, F311)</f>
        <v/>
      </c>
    </row>
    <row r="312">
      <c r="A312" s="10" t="n">
        <v>311</v>
      </c>
      <c r="B312" s="11" t="inlineStr">
        <is>
          <t>Chattogram-A (GEN-A)</t>
        </is>
      </c>
      <c r="C312" s="11" t="inlineStr">
        <is>
          <t>Mr. Md. Waliul Azam</t>
        </is>
      </c>
      <c r="D312" s="11" t="inlineStr">
        <is>
          <t>Baraiyerhat GEN-A-1</t>
        </is>
      </c>
      <c r="E312" s="11" t="inlineStr">
        <is>
          <t>Mr. Md. Abdus Salam</t>
        </is>
      </c>
      <c r="F312" s="10" t="n">
        <v>11096</v>
      </c>
      <c r="G312" s="11" t="inlineStr">
        <is>
          <t>Baraiyerhat-1</t>
        </is>
      </c>
      <c r="H312" s="10" t="n">
        <v>6903</v>
      </c>
      <c r="I312" s="11" t="inlineStr">
        <is>
          <t>Mr. Md. Robiul Islam</t>
        </is>
      </c>
      <c r="J312" s="10">
        <f>IF(K312&gt;0, "Completed", "Pending")</f>
        <v/>
      </c>
      <c r="K312" s="10">
        <f>COUNTIF('Survey Responses'!F:F, F312)</f>
        <v/>
      </c>
    </row>
    <row r="313">
      <c r="A313" s="10" t="n">
        <v>312</v>
      </c>
      <c r="B313" s="11" t="inlineStr">
        <is>
          <t>Chattogram-A (GEN-A)</t>
        </is>
      </c>
      <c r="C313" s="11" t="inlineStr">
        <is>
          <t>Mr. Md. Waliul Azam</t>
        </is>
      </c>
      <c r="D313" s="11" t="inlineStr">
        <is>
          <t>Baraiyerhat GEN-A-1</t>
        </is>
      </c>
      <c r="E313" s="11" t="inlineStr">
        <is>
          <t>Mr. Md. Abdus Salam</t>
        </is>
      </c>
      <c r="F313" s="10" t="n">
        <v>11095</v>
      </c>
      <c r="G313" s="11" t="inlineStr">
        <is>
          <t>Baraiyerhat-2</t>
        </is>
      </c>
      <c r="H313" s="10" t="n">
        <v>8980</v>
      </c>
      <c r="I313" s="11" t="inlineStr">
        <is>
          <t>Mr. Md. Sumon Hossain</t>
        </is>
      </c>
      <c r="J313" s="10">
        <f>IF(K313&gt;0, "Completed", "Pending")</f>
        <v/>
      </c>
      <c r="K313" s="10">
        <f>COUNTIF('Survey Responses'!F:F, F313)</f>
        <v/>
      </c>
    </row>
    <row r="314">
      <c r="A314" s="10" t="n">
        <v>313</v>
      </c>
      <c r="B314" s="11" t="inlineStr">
        <is>
          <t>Chattogram-A (GEN-A)</t>
        </is>
      </c>
      <c r="C314" s="11" t="inlineStr">
        <is>
          <t>Mr. Md. Waliul Azam</t>
        </is>
      </c>
      <c r="D314" s="11" t="inlineStr">
        <is>
          <t>Baraiyerhat GEN-A-1</t>
        </is>
      </c>
      <c r="E314" s="11" t="inlineStr">
        <is>
          <t>Mr. Md. Abdus Salam</t>
        </is>
      </c>
      <c r="F314" s="10" t="n">
        <v>11097</v>
      </c>
      <c r="G314" s="11" t="inlineStr">
        <is>
          <t>Baraiyerhat-3</t>
        </is>
      </c>
      <c r="H314" s="10" t="n">
        <v>1664</v>
      </c>
      <c r="I314" s="11" t="inlineStr">
        <is>
          <t>Md. Firoz Alam</t>
        </is>
      </c>
      <c r="J314" s="10">
        <f>IF(K314&gt;0, "Completed", "Pending")</f>
        <v/>
      </c>
      <c r="K314" s="10">
        <f>COUNTIF('Survey Responses'!F:F, F314)</f>
        <v/>
      </c>
    </row>
    <row r="315">
      <c r="A315" s="10" t="n">
        <v>314</v>
      </c>
      <c r="B315" s="11" t="inlineStr">
        <is>
          <t>Chattogram-A (GEN-A)</t>
        </is>
      </c>
      <c r="C315" s="11" t="inlineStr">
        <is>
          <t>Mr. Md. Waliul Azam</t>
        </is>
      </c>
      <c r="D315" s="11" t="inlineStr">
        <is>
          <t>Baraiyerhat GEN-A-1</t>
        </is>
      </c>
      <c r="E315" s="11" t="inlineStr">
        <is>
          <t>Mr. Md. Abdus Salam</t>
        </is>
      </c>
      <c r="F315" s="10" t="n">
        <v>14544</v>
      </c>
      <c r="G315" s="11" t="inlineStr">
        <is>
          <t>Baraiyerhat-4</t>
        </is>
      </c>
      <c r="H315" s="10" t="n">
        <v>7650</v>
      </c>
      <c r="I315" s="11" t="inlineStr">
        <is>
          <t>Mr. Solaiman</t>
        </is>
      </c>
      <c r="J315" s="10">
        <f>IF(K315&gt;0, "Completed", "Pending")</f>
        <v/>
      </c>
      <c r="K315" s="10">
        <f>COUNTIF('Survey Responses'!F:F, F315)</f>
        <v/>
      </c>
    </row>
    <row r="316">
      <c r="A316" s="10" t="n">
        <v>315</v>
      </c>
      <c r="B316" s="11" t="inlineStr">
        <is>
          <t>Chattogram-A (GEN-A)</t>
        </is>
      </c>
      <c r="C316" s="11" t="inlineStr">
        <is>
          <t>Mr. Md. Waliul Azam</t>
        </is>
      </c>
      <c r="D316" s="11" t="inlineStr">
        <is>
          <t>Baraiyerhat GEN-A-1</t>
        </is>
      </c>
      <c r="E316" s="11" t="inlineStr">
        <is>
          <t>Mr. Md. Abdus Salam</t>
        </is>
      </c>
      <c r="F316" s="10" t="n">
        <v>12949</v>
      </c>
      <c r="G316" s="11" t="inlineStr">
        <is>
          <t>Jorargonj-1</t>
        </is>
      </c>
      <c r="H316" s="10" t="n">
        <v>3476</v>
      </c>
      <c r="I316" s="11" t="inlineStr">
        <is>
          <t>Mr. Md. Mahmud Kobir</t>
        </is>
      </c>
      <c r="J316" s="10">
        <f>IF(K316&gt;0, "Completed", "Pending")</f>
        <v/>
      </c>
      <c r="K316" s="10">
        <f>COUNTIF('Survey Responses'!F:F, F316)</f>
        <v/>
      </c>
    </row>
    <row r="317">
      <c r="A317" s="10" t="n">
        <v>316</v>
      </c>
      <c r="B317" s="11" t="inlineStr">
        <is>
          <t>Chattogram-A (GEN-A)</t>
        </is>
      </c>
      <c r="C317" s="11" t="inlineStr">
        <is>
          <t>Mr. Md. Waliul Azam</t>
        </is>
      </c>
      <c r="D317" s="11" t="inlineStr">
        <is>
          <t>Baraiyerhat GEN-A-1</t>
        </is>
      </c>
      <c r="E317" s="11" t="inlineStr">
        <is>
          <t>Mr. Md. Abdus Salam</t>
        </is>
      </c>
      <c r="F317" s="10" t="n">
        <v>11026</v>
      </c>
      <c r="G317" s="11" t="inlineStr">
        <is>
          <t>Ramgarh-1</t>
        </is>
      </c>
      <c r="H317" s="10" t="n">
        <v>3005</v>
      </c>
      <c r="I317" s="11" t="inlineStr">
        <is>
          <t>Md. Ariful Islam</t>
        </is>
      </c>
      <c r="J317" s="10">
        <f>IF(K317&gt;0, "Completed", "Pending")</f>
        <v/>
      </c>
      <c r="K317" s="10">
        <f>COUNTIF('Survey Responses'!F:F, F317)</f>
        <v/>
      </c>
    </row>
    <row r="318">
      <c r="A318" s="10" t="n">
        <v>317</v>
      </c>
      <c r="B318" s="11" t="inlineStr">
        <is>
          <t>Chattogram-A (GEN-A)</t>
        </is>
      </c>
      <c r="C318" s="11" t="inlineStr">
        <is>
          <t>Mr. Md. Waliul Azam</t>
        </is>
      </c>
      <c r="D318" s="11" t="inlineStr">
        <is>
          <t>Baraiyerhat GEN-A-1</t>
        </is>
      </c>
      <c r="E318" s="11" t="inlineStr">
        <is>
          <t>Mr. Md. Abdus Salam</t>
        </is>
      </c>
      <c r="F318" s="10" t="n">
        <v>13055</v>
      </c>
      <c r="G318" s="11" t="inlineStr">
        <is>
          <t>Ramgarh-2</t>
        </is>
      </c>
      <c r="H318" s="10" t="n">
        <v>3977</v>
      </c>
      <c r="I318" s="11" t="inlineStr">
        <is>
          <t>Mr. Subarato Chandro</t>
        </is>
      </c>
      <c r="J318" s="10">
        <f>IF(K318&gt;0, "Completed", "Pending")</f>
        <v/>
      </c>
      <c r="K318" s="10">
        <f>COUNTIF('Survey Responses'!F:F, F318)</f>
        <v/>
      </c>
    </row>
    <row r="319">
      <c r="A319" s="10" t="n">
        <v>318</v>
      </c>
      <c r="B319" s="11" t="inlineStr">
        <is>
          <t>Chattogram-A (GEN-A)</t>
        </is>
      </c>
      <c r="C319" s="11" t="inlineStr">
        <is>
          <t>Mr. Md. Waliul Azam</t>
        </is>
      </c>
      <c r="D319" s="11" t="inlineStr">
        <is>
          <t>Chattogram GEN-A-12</t>
        </is>
      </c>
      <c r="E319" s="11" t="inlineStr">
        <is>
          <t>Md. Shafikul Islam</t>
        </is>
      </c>
      <c r="F319" s="10" t="n">
        <v>11031</v>
      </c>
      <c r="G319" s="11" t="inlineStr">
        <is>
          <t>CTG (Agrabad)-1</t>
        </is>
      </c>
      <c r="H319" s="10" t="n">
        <v>1541</v>
      </c>
      <c r="I319" s="11" t="inlineStr">
        <is>
          <t>Md. Shah Alam</t>
        </is>
      </c>
      <c r="J319" s="10">
        <f>IF(K319&gt;0, "Completed", "Pending")</f>
        <v/>
      </c>
      <c r="K319" s="10">
        <f>COUNTIF('Survey Responses'!F:F, F319)</f>
        <v/>
      </c>
    </row>
    <row r="320">
      <c r="A320" s="10" t="n">
        <v>319</v>
      </c>
      <c r="B320" s="11" t="inlineStr">
        <is>
          <t>Chattogram-A (GEN-A)</t>
        </is>
      </c>
      <c r="C320" s="11" t="inlineStr">
        <is>
          <t>Mr. Md. Waliul Azam</t>
        </is>
      </c>
      <c r="D320" s="11" t="inlineStr">
        <is>
          <t>Chattogram GEN-A-12</t>
        </is>
      </c>
      <c r="E320" s="11" t="inlineStr">
        <is>
          <t>Md. Shafikul Islam</t>
        </is>
      </c>
      <c r="F320" s="10" t="n">
        <v>11730</v>
      </c>
      <c r="G320" s="11" t="inlineStr">
        <is>
          <t>CTG (Agrabad)-2</t>
        </is>
      </c>
      <c r="H320" s="10" t="n">
        <v>4033</v>
      </c>
      <c r="I320" s="11" t="inlineStr">
        <is>
          <t>Mr. Ramjan Ali</t>
        </is>
      </c>
      <c r="J320" s="10">
        <f>IF(K320&gt;0, "Completed", "Pending")</f>
        <v/>
      </c>
      <c r="K320" s="10">
        <f>COUNTIF('Survey Responses'!F:F, F320)</f>
        <v/>
      </c>
    </row>
    <row r="321">
      <c r="A321" s="10" t="n">
        <v>320</v>
      </c>
      <c r="B321" s="11" t="inlineStr">
        <is>
          <t>Chattogram-A (GEN-A)</t>
        </is>
      </c>
      <c r="C321" s="11" t="inlineStr">
        <is>
          <t>Mr. Md. Waliul Azam</t>
        </is>
      </c>
      <c r="D321" s="11" t="inlineStr">
        <is>
          <t>Chattogram GEN-A-12</t>
        </is>
      </c>
      <c r="E321" s="11" t="inlineStr">
        <is>
          <t>Md. Shafikul Islam</t>
        </is>
      </c>
      <c r="F321" s="10" t="n">
        <v>14595</v>
      </c>
      <c r="G321" s="11" t="inlineStr">
        <is>
          <t>CTG (Agrabad)-3</t>
        </is>
      </c>
      <c r="H321" s="10" t="n">
        <v>7691</v>
      </c>
      <c r="I321" s="11" t="inlineStr">
        <is>
          <t>Mr. Khairul Alam</t>
        </is>
      </c>
      <c r="J321" s="10">
        <f>IF(K321&gt;0, "Completed", "Pending")</f>
        <v/>
      </c>
      <c r="K321" s="10">
        <f>COUNTIF('Survey Responses'!F:F, F321)</f>
        <v/>
      </c>
    </row>
    <row r="322">
      <c r="A322" s="10" t="n">
        <v>321</v>
      </c>
      <c r="B322" s="11" t="inlineStr">
        <is>
          <t>Chattogram-A (GEN-A)</t>
        </is>
      </c>
      <c r="C322" s="11" t="inlineStr">
        <is>
          <t>Mr. Md. Waliul Azam</t>
        </is>
      </c>
      <c r="D322" s="11" t="inlineStr">
        <is>
          <t>Chattogram GEN-A-12</t>
        </is>
      </c>
      <c r="E322" s="11" t="inlineStr">
        <is>
          <t>Md. Shafikul Islam</t>
        </is>
      </c>
      <c r="F322" s="10" t="n">
        <v>11027</v>
      </c>
      <c r="G322" s="11" t="inlineStr">
        <is>
          <t>CTG (Bandartila)-1</t>
        </is>
      </c>
      <c r="H322" s="10" t="n">
        <v>3040</v>
      </c>
      <c r="I322" s="11" t="inlineStr">
        <is>
          <t>Md. Aktaruzzaman</t>
        </is>
      </c>
      <c r="J322" s="10">
        <f>IF(K322&gt;0, "Completed", "Pending")</f>
        <v/>
      </c>
      <c r="K322" s="10">
        <f>COUNTIF('Survey Responses'!F:F, F322)</f>
        <v/>
      </c>
    </row>
    <row r="323">
      <c r="A323" s="10" t="n">
        <v>322</v>
      </c>
      <c r="B323" s="11" t="inlineStr">
        <is>
          <t>Chattogram-A (GEN-A)</t>
        </is>
      </c>
      <c r="C323" s="11" t="inlineStr">
        <is>
          <t>Mr. Md. Waliul Azam</t>
        </is>
      </c>
      <c r="D323" s="11" t="inlineStr">
        <is>
          <t>Chattogram GEN-A-12</t>
        </is>
      </c>
      <c r="E323" s="11" t="inlineStr">
        <is>
          <t>Md. Shafikul Islam</t>
        </is>
      </c>
      <c r="F323" s="10" t="n">
        <v>12227</v>
      </c>
      <c r="G323" s="11" t="inlineStr">
        <is>
          <t>CTG (Bandartila)-2</t>
        </is>
      </c>
      <c r="H323" s="10" t="n">
        <v>7729</v>
      </c>
      <c r="I323" s="11" t="inlineStr">
        <is>
          <t>Mr. Janibur Rahman</t>
        </is>
      </c>
      <c r="J323" s="10">
        <f>IF(K323&gt;0, "Completed", "Pending")</f>
        <v/>
      </c>
      <c r="K323" s="10">
        <f>COUNTIF('Survey Responses'!F:F, F323)</f>
        <v/>
      </c>
    </row>
    <row r="324">
      <c r="A324" s="10" t="n">
        <v>323</v>
      </c>
      <c r="B324" s="11" t="inlineStr">
        <is>
          <t>Chattogram-A (GEN-A)</t>
        </is>
      </c>
      <c r="C324" s="11" t="inlineStr">
        <is>
          <t>Mr. Md. Waliul Azam</t>
        </is>
      </c>
      <c r="D324" s="11" t="inlineStr">
        <is>
          <t>Chattogram GEN-A-12</t>
        </is>
      </c>
      <c r="E324" s="11" t="inlineStr">
        <is>
          <t>Md. Shafikul Islam</t>
        </is>
      </c>
      <c r="F324" s="10" t="n">
        <v>11090</v>
      </c>
      <c r="G324" s="11" t="inlineStr">
        <is>
          <t>CTG (Maa O Shishu)-3</t>
        </is>
      </c>
      <c r="H324" s="10" t="n">
        <v>3820</v>
      </c>
      <c r="I324" s="11" t="inlineStr">
        <is>
          <t>Mr. Md. Tanvir Hossain</t>
        </is>
      </c>
      <c r="J324" s="10">
        <f>IF(K324&gt;0, "Completed", "Pending")</f>
        <v/>
      </c>
      <c r="K324" s="10">
        <f>COUNTIF('Survey Responses'!F:F, F324)</f>
        <v/>
      </c>
    </row>
    <row r="325">
      <c r="A325" s="10" t="n">
        <v>324</v>
      </c>
      <c r="B325" s="11" t="inlineStr">
        <is>
          <t>Chattogram-A (GEN-A)</t>
        </is>
      </c>
      <c r="C325" s="11" t="inlineStr">
        <is>
          <t>Mr. Md. Waliul Azam</t>
        </is>
      </c>
      <c r="D325" s="11" t="inlineStr">
        <is>
          <t>Chattogram GEN-A-12</t>
        </is>
      </c>
      <c r="E325" s="11" t="inlineStr">
        <is>
          <t>Md. Shafikul Islam</t>
        </is>
      </c>
      <c r="F325" s="10" t="n">
        <v>11089</v>
      </c>
      <c r="G325" s="11" t="inlineStr">
        <is>
          <t>CTG (Maa O Shishu)-4</t>
        </is>
      </c>
      <c r="H325" s="10" t="n">
        <v>8724</v>
      </c>
      <c r="I325" s="11" t="inlineStr">
        <is>
          <t>Mr. Md. Mahmudul Hasan</t>
        </is>
      </c>
      <c r="J325" s="10">
        <f>IF(K325&gt;0, "Completed", "Pending")</f>
        <v/>
      </c>
      <c r="K325" s="10">
        <f>COUNTIF('Survey Responses'!F:F, F325)</f>
        <v/>
      </c>
    </row>
    <row r="326">
      <c r="A326" s="10" t="n">
        <v>325</v>
      </c>
      <c r="B326" s="11" t="inlineStr">
        <is>
          <t>Chattogram-A (GEN-A)</t>
        </is>
      </c>
      <c r="C326" s="11" t="inlineStr">
        <is>
          <t>Mr. Md. Waliul Azam</t>
        </is>
      </c>
      <c r="D326" s="11" t="inlineStr">
        <is>
          <t>Chattogram GEN-A-12</t>
        </is>
      </c>
      <c r="E326" s="11" t="inlineStr">
        <is>
          <t>Md. Shafikul Islam</t>
        </is>
      </c>
      <c r="F326" s="10" t="n">
        <v>12948</v>
      </c>
      <c r="G326" s="11" t="inlineStr">
        <is>
          <t>CTG (Maa O Shishu)-5</t>
        </is>
      </c>
      <c r="H326" s="10" t="n">
        <v>1961</v>
      </c>
      <c r="I326" s="11" t="inlineStr">
        <is>
          <t>Md. Shoriful Islam</t>
        </is>
      </c>
      <c r="J326" s="10">
        <f>IF(K326&gt;0, "Completed", "Pending")</f>
        <v/>
      </c>
      <c r="K326" s="10">
        <f>COUNTIF('Survey Responses'!F:F, F326)</f>
        <v/>
      </c>
    </row>
    <row r="327">
      <c r="A327" s="10" t="n">
        <v>326</v>
      </c>
      <c r="B327" s="11" t="inlineStr">
        <is>
          <t>Chattogram-A (GEN-A)</t>
        </is>
      </c>
      <c r="C327" s="11" t="inlineStr">
        <is>
          <t>Mr. Md. Waliul Azam</t>
        </is>
      </c>
      <c r="D327" s="11" t="inlineStr">
        <is>
          <t>Chattogram GEN-A-3</t>
        </is>
      </c>
      <c r="E327" s="11" t="inlineStr">
        <is>
          <t>Mohammad Yousuf</t>
        </is>
      </c>
      <c r="F327" s="10" t="n">
        <v>11087</v>
      </c>
      <c r="G327" s="11" t="inlineStr">
        <is>
          <t>CTG (DT Road)</t>
        </is>
      </c>
      <c r="H327" s="10" t="n">
        <v>7583</v>
      </c>
      <c r="I327" s="11" t="inlineStr">
        <is>
          <t>Mr. Md. Abdul Hamid Miah</t>
        </is>
      </c>
      <c r="J327" s="10">
        <f>IF(K327&gt;0, "Completed", "Pending")</f>
        <v/>
      </c>
      <c r="K327" s="10">
        <f>COUNTIF('Survey Responses'!F:F, F327)</f>
        <v/>
      </c>
    </row>
    <row r="328">
      <c r="A328" s="10" t="n">
        <v>327</v>
      </c>
      <c r="B328" s="11" t="inlineStr">
        <is>
          <t>Chattogram-A (GEN-A)</t>
        </is>
      </c>
      <c r="C328" s="11" t="inlineStr">
        <is>
          <t>Mr. Md. Waliul Azam</t>
        </is>
      </c>
      <c r="D328" s="11" t="inlineStr">
        <is>
          <t>Chattogram GEN-A-3</t>
        </is>
      </c>
      <c r="E328" s="11" t="inlineStr">
        <is>
          <t>Mohammad Yousuf</t>
        </is>
      </c>
      <c r="F328" s="10" t="n">
        <v>11086</v>
      </c>
      <c r="G328" s="11" t="inlineStr">
        <is>
          <t>CTG (Halishahar)-1</t>
        </is>
      </c>
      <c r="H328" s="10" t="n">
        <v>9045</v>
      </c>
      <c r="I328" s="11" t="inlineStr">
        <is>
          <t>Mr. Md. Zahidul Islam</t>
        </is>
      </c>
      <c r="J328" s="10">
        <f>IF(K328&gt;0, "Completed", "Pending")</f>
        <v/>
      </c>
      <c r="K328" s="10">
        <f>COUNTIF('Survey Responses'!F:F, F328)</f>
        <v/>
      </c>
    </row>
    <row r="329">
      <c r="A329" s="10" t="n">
        <v>328</v>
      </c>
      <c r="B329" s="11" t="inlineStr">
        <is>
          <t>Chattogram-A (GEN-A)</t>
        </is>
      </c>
      <c r="C329" s="11" t="inlineStr">
        <is>
          <t>Mr. Md. Waliul Azam</t>
        </is>
      </c>
      <c r="D329" s="11" t="inlineStr">
        <is>
          <t>Chattogram GEN-A-3</t>
        </is>
      </c>
      <c r="E329" s="11" t="inlineStr">
        <is>
          <t>Mohammad Yousuf</t>
        </is>
      </c>
      <c r="F329" s="10" t="n">
        <v>13614</v>
      </c>
      <c r="G329" s="11" t="inlineStr">
        <is>
          <t>CTG (Halishahar)-2</t>
        </is>
      </c>
      <c r="H329" s="10" t="n">
        <v>7220</v>
      </c>
      <c r="I329" s="11" t="inlineStr">
        <is>
          <t>Mr. Md. Rakib Hossain</t>
        </is>
      </c>
      <c r="J329" s="10">
        <f>IF(K329&gt;0, "Completed", "Pending")</f>
        <v/>
      </c>
      <c r="K329" s="10">
        <f>COUNTIF('Survey Responses'!F:F, F329)</f>
        <v/>
      </c>
    </row>
    <row r="330">
      <c r="A330" s="10" t="n">
        <v>329</v>
      </c>
      <c r="B330" s="11" t="inlineStr">
        <is>
          <t>Chattogram-A (GEN-A)</t>
        </is>
      </c>
      <c r="C330" s="11" t="inlineStr">
        <is>
          <t>Mr. Md. Waliul Azam</t>
        </is>
      </c>
      <c r="D330" s="11" t="inlineStr">
        <is>
          <t>Chattogram GEN-A-3</t>
        </is>
      </c>
      <c r="E330" s="11" t="inlineStr">
        <is>
          <t>Mohammad Yousuf</t>
        </is>
      </c>
      <c r="F330" s="10" t="n">
        <v>12225</v>
      </c>
      <c r="G330" s="11" t="inlineStr">
        <is>
          <t>CTG (IBH)-1</t>
        </is>
      </c>
      <c r="H330" s="10" t="n">
        <v>6413</v>
      </c>
      <c r="I330" s="11" t="inlineStr">
        <is>
          <t>Mr. Md. Khademul Islam</t>
        </is>
      </c>
      <c r="J330" s="10">
        <f>IF(K330&gt;0, "Completed", "Pending")</f>
        <v/>
      </c>
      <c r="K330" s="10">
        <f>COUNTIF('Survey Responses'!F:F, F330)</f>
        <v/>
      </c>
    </row>
    <row r="331">
      <c r="A331" s="10" t="n">
        <v>330</v>
      </c>
      <c r="B331" s="11" t="inlineStr">
        <is>
          <t>Chattogram-A (GEN-A)</t>
        </is>
      </c>
      <c r="C331" s="11" t="inlineStr">
        <is>
          <t>Mr. Md. Waliul Azam</t>
        </is>
      </c>
      <c r="D331" s="11" t="inlineStr">
        <is>
          <t>Chattogram GEN-A-3</t>
        </is>
      </c>
      <c r="E331" s="11" t="inlineStr">
        <is>
          <t>Mohammad Yousuf</t>
        </is>
      </c>
      <c r="F331" s="10" t="n">
        <v>14852</v>
      </c>
      <c r="G331" s="11" t="inlineStr">
        <is>
          <t>CTG (IBH)-2</t>
        </is>
      </c>
      <c r="H331" s="10" t="n">
        <v>8968</v>
      </c>
      <c r="I331" s="11" t="inlineStr">
        <is>
          <t>Mr. Md. Kayesh Khan Bipul</t>
        </is>
      </c>
      <c r="J331" s="10">
        <f>IF(K331&gt;0, "Completed", "Pending")</f>
        <v/>
      </c>
      <c r="K331" s="10">
        <f>COUNTIF('Survey Responses'!F:F, F331)</f>
        <v/>
      </c>
    </row>
    <row r="332">
      <c r="A332" s="10" t="n">
        <v>331</v>
      </c>
      <c r="B332" s="11" t="inlineStr">
        <is>
          <t>Chattogram-A (GEN-A)</t>
        </is>
      </c>
      <c r="C332" s="11" t="inlineStr">
        <is>
          <t>Mr. Md. Waliul Azam</t>
        </is>
      </c>
      <c r="D332" s="11" t="inlineStr">
        <is>
          <t>Chattogram GEN-A-3</t>
        </is>
      </c>
      <c r="E332" s="11" t="inlineStr">
        <is>
          <t>Mohammad Yousuf</t>
        </is>
      </c>
      <c r="F332" s="10" t="n">
        <v>11088</v>
      </c>
      <c r="G332" s="11" t="inlineStr">
        <is>
          <t>CTG (Maa O Shishu)-1</t>
        </is>
      </c>
      <c r="H332" s="10" t="n">
        <v>7727</v>
      </c>
      <c r="I332" s="11" t="inlineStr">
        <is>
          <t>Mr. Md. Omar Ali</t>
        </is>
      </c>
      <c r="J332" s="10">
        <f>IF(K332&gt;0, "Completed", "Pending")</f>
        <v/>
      </c>
      <c r="K332" s="10">
        <f>COUNTIF('Survey Responses'!F:F, F332)</f>
        <v/>
      </c>
    </row>
    <row r="333">
      <c r="A333" s="10" t="n">
        <v>332</v>
      </c>
      <c r="B333" s="11" t="inlineStr">
        <is>
          <t>Chattogram-A (GEN-A)</t>
        </is>
      </c>
      <c r="C333" s="11" t="inlineStr">
        <is>
          <t>Mr. Md. Waliul Azam</t>
        </is>
      </c>
      <c r="D333" s="11" t="inlineStr">
        <is>
          <t>Chattogram GEN-A-3</t>
        </is>
      </c>
      <c r="E333" s="11" t="inlineStr">
        <is>
          <t>Mohammad Yousuf</t>
        </is>
      </c>
      <c r="F333" s="10" t="n">
        <v>11091</v>
      </c>
      <c r="G333" s="11" t="inlineStr">
        <is>
          <t>CTG (Maa O Shishu)-2</t>
        </is>
      </c>
      <c r="H333" s="10" t="n">
        <v>7372</v>
      </c>
      <c r="I333" s="11" t="inlineStr">
        <is>
          <t>Mr. Md. Muhaiminul Islam</t>
        </is>
      </c>
      <c r="J333" s="10">
        <f>IF(K333&gt;0, "Completed", "Pending")</f>
        <v/>
      </c>
      <c r="K333" s="10">
        <f>COUNTIF('Survey Responses'!F:F, F333)</f>
        <v/>
      </c>
    </row>
    <row r="334">
      <c r="A334" s="10" t="n">
        <v>333</v>
      </c>
      <c r="B334" s="11" t="inlineStr">
        <is>
          <t>Chattogram-A (GEN-A)</t>
        </is>
      </c>
      <c r="C334" s="11" t="inlineStr">
        <is>
          <t>Mr. Md. Waliul Azam</t>
        </is>
      </c>
      <c r="D334" s="11" t="inlineStr">
        <is>
          <t>Chattogram GEN-A-3</t>
        </is>
      </c>
      <c r="E334" s="11" t="inlineStr">
        <is>
          <t>Mohammad Yousuf</t>
        </is>
      </c>
      <c r="F334" s="10" t="n">
        <v>13264</v>
      </c>
      <c r="G334" s="11" t="inlineStr">
        <is>
          <t>CTG (Maa O Shishu)-6</t>
        </is>
      </c>
      <c r="H334" s="10" t="n">
        <v>7139</v>
      </c>
      <c r="I334" s="11" t="inlineStr">
        <is>
          <t>Mr. Kartic Sarker</t>
        </is>
      </c>
      <c r="J334" s="10">
        <f>IF(K334&gt;0, "Completed", "Pending")</f>
        <v/>
      </c>
      <c r="K334" s="10">
        <f>COUNTIF('Survey Responses'!F:F, F334)</f>
        <v/>
      </c>
    </row>
    <row r="335">
      <c r="A335" s="10" t="n">
        <v>334</v>
      </c>
      <c r="B335" s="11" t="inlineStr">
        <is>
          <t>Chattogram-A (GEN-A)</t>
        </is>
      </c>
      <c r="C335" s="11" t="inlineStr">
        <is>
          <t>Mr. Md. Waliul Azam</t>
        </is>
      </c>
      <c r="D335" s="11" t="inlineStr">
        <is>
          <t>Chattogram GEN-A-8</t>
        </is>
      </c>
      <c r="E335" s="11" t="inlineStr">
        <is>
          <t>Md. Shamim Al Mamun</t>
        </is>
      </c>
      <c r="F335" s="10" t="n">
        <v>11082</v>
      </c>
      <c r="G335" s="11" t="inlineStr">
        <is>
          <t>Bhatiary-1</t>
        </is>
      </c>
      <c r="H335" s="10" t="n">
        <v>1789</v>
      </c>
      <c r="I335" s="11" t="inlineStr">
        <is>
          <t>Md. Abu Taher</t>
        </is>
      </c>
      <c r="J335" s="10">
        <f>IF(K335&gt;0, "Completed", "Pending")</f>
        <v/>
      </c>
      <c r="K335" s="10">
        <f>COUNTIF('Survey Responses'!F:F, F335)</f>
        <v/>
      </c>
    </row>
    <row r="336">
      <c r="A336" s="10" t="n">
        <v>335</v>
      </c>
      <c r="B336" s="11" t="inlineStr">
        <is>
          <t>Chattogram-A (GEN-A)</t>
        </is>
      </c>
      <c r="C336" s="11" t="inlineStr">
        <is>
          <t>Mr. Md. Waliul Azam</t>
        </is>
      </c>
      <c r="D336" s="11" t="inlineStr">
        <is>
          <t>Chattogram GEN-A-8</t>
        </is>
      </c>
      <c r="E336" s="11" t="inlineStr">
        <is>
          <t>Md. Shamim Al Mamun</t>
        </is>
      </c>
      <c r="F336" s="10" t="n">
        <v>12061</v>
      </c>
      <c r="G336" s="11" t="inlineStr">
        <is>
          <t>CTG (Alongker)-1</t>
        </is>
      </c>
      <c r="H336" s="10" t="n">
        <v>3822</v>
      </c>
      <c r="I336" s="11" t="inlineStr">
        <is>
          <t>Mr. Kazi Shajjad Hossain</t>
        </is>
      </c>
      <c r="J336" s="10">
        <f>IF(K336&gt;0, "Completed", "Pending")</f>
        <v/>
      </c>
      <c r="K336" s="10">
        <f>COUNTIF('Survey Responses'!F:F, F336)</f>
        <v/>
      </c>
    </row>
    <row r="337">
      <c r="A337" s="10" t="n">
        <v>336</v>
      </c>
      <c r="B337" s="11" t="inlineStr">
        <is>
          <t>Chattogram-A (GEN-A)</t>
        </is>
      </c>
      <c r="C337" s="11" t="inlineStr">
        <is>
          <t>Mr. Md. Waliul Azam</t>
        </is>
      </c>
      <c r="D337" s="11" t="inlineStr">
        <is>
          <t>Chattogram GEN-A-8</t>
        </is>
      </c>
      <c r="E337" s="11" t="inlineStr">
        <is>
          <t>Md. Shamim Al Mamun</t>
        </is>
      </c>
      <c r="F337" s="10" t="n">
        <v>11085</v>
      </c>
      <c r="G337" s="11" t="inlineStr">
        <is>
          <t>CTG (Colonel Hat)-1</t>
        </is>
      </c>
      <c r="H337" s="10" t="n">
        <v>2523</v>
      </c>
      <c r="I337" s="11" t="inlineStr">
        <is>
          <t>Md. Rabeul Islam</t>
        </is>
      </c>
      <c r="J337" s="10">
        <f>IF(K337&gt;0, "Completed", "Pending")</f>
        <v/>
      </c>
      <c r="K337" s="10">
        <f>COUNTIF('Survey Responses'!F:F, F337)</f>
        <v/>
      </c>
    </row>
    <row r="338">
      <c r="A338" s="10" t="n">
        <v>337</v>
      </c>
      <c r="B338" s="11" t="inlineStr">
        <is>
          <t>Chattogram-A (GEN-A)</t>
        </is>
      </c>
      <c r="C338" s="11" t="inlineStr">
        <is>
          <t>Mr. Md. Waliul Azam</t>
        </is>
      </c>
      <c r="D338" s="11" t="inlineStr">
        <is>
          <t>Chattogram GEN-A-8</t>
        </is>
      </c>
      <c r="E338" s="11" t="inlineStr">
        <is>
          <t>Md. Shamim Al Mamun</t>
        </is>
      </c>
      <c r="F338" s="10" t="n">
        <v>12598</v>
      </c>
      <c r="G338" s="11" t="inlineStr">
        <is>
          <t>CTG (Colonel Hat)-2</t>
        </is>
      </c>
      <c r="H338" s="10" t="n">
        <v>1935</v>
      </c>
      <c r="I338" s="11" t="inlineStr">
        <is>
          <t>Md. Mahfuzar Rahman</t>
        </is>
      </c>
      <c r="J338" s="10">
        <f>IF(K338&gt;0, "Completed", "Pending")</f>
        <v/>
      </c>
      <c r="K338" s="10">
        <f>COUNTIF('Survey Responses'!F:F, F338)</f>
        <v/>
      </c>
    </row>
    <row r="339">
      <c r="A339" s="10" t="n">
        <v>338</v>
      </c>
      <c r="B339" s="11" t="inlineStr">
        <is>
          <t>Chattogram-A (GEN-A)</t>
        </is>
      </c>
      <c r="C339" s="11" t="inlineStr">
        <is>
          <t>Mr. Md. Waliul Azam</t>
        </is>
      </c>
      <c r="D339" s="11" t="inlineStr">
        <is>
          <t>Chattogram GEN-A-8</t>
        </is>
      </c>
      <c r="E339" s="11" t="inlineStr">
        <is>
          <t>Md. Shamim Al Mamun</t>
        </is>
      </c>
      <c r="F339" s="10" t="n">
        <v>11079</v>
      </c>
      <c r="G339" s="11" t="inlineStr">
        <is>
          <t>CTG (Diabetic)-1</t>
        </is>
      </c>
      <c r="H339" s="10" t="n">
        <v>5453</v>
      </c>
      <c r="I339" s="11" t="inlineStr">
        <is>
          <t>Mr. Polash Uddin</t>
        </is>
      </c>
      <c r="J339" s="10">
        <f>IF(K339&gt;0, "Completed", "Pending")</f>
        <v/>
      </c>
      <c r="K339" s="10">
        <f>COUNTIF('Survey Responses'!F:F, F339)</f>
        <v/>
      </c>
    </row>
    <row r="340">
      <c r="A340" s="10" t="n">
        <v>339</v>
      </c>
      <c r="B340" s="11" t="inlineStr">
        <is>
          <t>Chattogram-A (GEN-A)</t>
        </is>
      </c>
      <c r="C340" s="11" t="inlineStr">
        <is>
          <t>Mr. Md. Waliul Azam</t>
        </is>
      </c>
      <c r="D340" s="11" t="inlineStr">
        <is>
          <t>Chattogram GEN-A-8</t>
        </is>
      </c>
      <c r="E340" s="11" t="inlineStr">
        <is>
          <t>Md. Shamim Al Mamun</t>
        </is>
      </c>
      <c r="F340" s="10" t="n">
        <v>13291</v>
      </c>
      <c r="G340" s="11" t="inlineStr">
        <is>
          <t>CTG (Diabetic)-2</t>
        </is>
      </c>
      <c r="H340" s="10" t="n">
        <v>3186</v>
      </c>
      <c r="I340" s="11" t="inlineStr">
        <is>
          <t>Mr. Md. Manik Khan</t>
        </is>
      </c>
      <c r="J340" s="10">
        <f>IF(K340&gt;0, "Completed", "Pending")</f>
        <v/>
      </c>
      <c r="K340" s="10">
        <f>COUNTIF('Survey Responses'!F:F, F340)</f>
        <v/>
      </c>
    </row>
    <row r="341">
      <c r="A341" s="10" t="n">
        <v>340</v>
      </c>
      <c r="B341" s="11" t="inlineStr">
        <is>
          <t>Chattogram-A (GEN-A)</t>
        </is>
      </c>
      <c r="C341" s="11" t="inlineStr">
        <is>
          <t>Mr. Md. Waliul Azam</t>
        </is>
      </c>
      <c r="D341" s="11" t="inlineStr">
        <is>
          <t>Chattogram GEN-A-8</t>
        </is>
      </c>
      <c r="E341" s="11" t="inlineStr">
        <is>
          <t>Md. Shamim Al Mamun</t>
        </is>
      </c>
      <c r="F341" s="10" t="n">
        <v>11081</v>
      </c>
      <c r="G341" s="11" t="inlineStr">
        <is>
          <t>CTG (USTC)-1</t>
        </is>
      </c>
      <c r="H341" s="10" t="n">
        <v>5187</v>
      </c>
      <c r="I341" s="11" t="inlineStr">
        <is>
          <t>Mr. Md. Azahar Uddin</t>
        </is>
      </c>
      <c r="J341" s="10">
        <f>IF(K341&gt;0, "Completed", "Pending")</f>
        <v/>
      </c>
      <c r="K341" s="10">
        <f>COUNTIF('Survey Responses'!F:F, F341)</f>
        <v/>
      </c>
    </row>
    <row r="342">
      <c r="A342" s="10" t="n">
        <v>341</v>
      </c>
      <c r="B342" s="11" t="inlineStr">
        <is>
          <t>Chattogram-A (GEN-A)</t>
        </is>
      </c>
      <c r="C342" s="11" t="inlineStr">
        <is>
          <t>Mr. Md. Waliul Azam</t>
        </is>
      </c>
      <c r="D342" s="11" t="inlineStr">
        <is>
          <t>Chattogram GEN-A-9</t>
        </is>
      </c>
      <c r="E342" s="11" t="inlineStr">
        <is>
          <t>Mr. Md. Zahidul Islam</t>
        </is>
      </c>
      <c r="F342" s="10" t="n">
        <v>11030</v>
      </c>
      <c r="G342" s="11" t="inlineStr">
        <is>
          <t>CTG (EPZ-1)</t>
        </is>
      </c>
      <c r="H342" s="10" t="n">
        <v>6705</v>
      </c>
      <c r="I342" s="11" t="inlineStr">
        <is>
          <t>Mr. M.Mehedi Hasan Saikot</t>
        </is>
      </c>
      <c r="J342" s="10">
        <f>IF(K342&gt;0, "Completed", "Pending")</f>
        <v/>
      </c>
      <c r="K342" s="10">
        <f>COUNTIF('Survey Responses'!F:F, F342)</f>
        <v/>
      </c>
    </row>
    <row r="343">
      <c r="A343" s="10" t="n">
        <v>342</v>
      </c>
      <c r="B343" s="11" t="inlineStr">
        <is>
          <t>Chattogram-A (GEN-A)</t>
        </is>
      </c>
      <c r="C343" s="11" t="inlineStr">
        <is>
          <t>Mr. Md. Waliul Azam</t>
        </is>
      </c>
      <c r="D343" s="11" t="inlineStr">
        <is>
          <t>Chattogram GEN-A-9</t>
        </is>
      </c>
      <c r="E343" s="11" t="inlineStr">
        <is>
          <t>Mr. Md. Zahidul Islam</t>
        </is>
      </c>
      <c r="F343" s="10" t="n">
        <v>11032</v>
      </c>
      <c r="G343" s="11" t="inlineStr">
        <is>
          <t>CTG (EPZ-2)</t>
        </is>
      </c>
      <c r="H343" s="10" t="n">
        <v>7454</v>
      </c>
      <c r="I343" s="11" t="inlineStr">
        <is>
          <t>Mr. Sudangshu</t>
        </is>
      </c>
      <c r="J343" s="10">
        <f>IF(K343&gt;0, "Completed", "Pending")</f>
        <v/>
      </c>
      <c r="K343" s="10">
        <f>COUNTIF('Survey Responses'!F:F, F343)</f>
        <v/>
      </c>
    </row>
    <row r="344">
      <c r="A344" s="10" t="n">
        <v>343</v>
      </c>
      <c r="B344" s="11" t="inlineStr">
        <is>
          <t>Chattogram-A (GEN-A)</t>
        </is>
      </c>
      <c r="C344" s="11" t="inlineStr">
        <is>
          <t>Mr. Md. Waliul Azam</t>
        </is>
      </c>
      <c r="D344" s="11" t="inlineStr">
        <is>
          <t>Chattogram GEN-A-9</t>
        </is>
      </c>
      <c r="E344" s="11" t="inlineStr">
        <is>
          <t>Mr. Md. Zahidul Islam</t>
        </is>
      </c>
      <c r="F344" s="10" t="n">
        <v>13310</v>
      </c>
      <c r="G344" s="11" t="inlineStr">
        <is>
          <t>CTG (EPZ-3)</t>
        </is>
      </c>
      <c r="H344" s="10" t="n">
        <v>6164</v>
      </c>
      <c r="I344" s="11" t="inlineStr">
        <is>
          <t>Mr. Md. Hero Mia</t>
        </is>
      </c>
      <c r="J344" s="10">
        <f>IF(K344&gt;0, "Completed", "Pending")</f>
        <v/>
      </c>
      <c r="K344" s="10">
        <f>COUNTIF('Survey Responses'!F:F, F344)</f>
        <v/>
      </c>
    </row>
    <row r="345">
      <c r="A345" s="10" t="n">
        <v>344</v>
      </c>
      <c r="B345" s="11" t="inlineStr">
        <is>
          <t>Chattogram-A (GEN-A)</t>
        </is>
      </c>
      <c r="C345" s="11" t="inlineStr">
        <is>
          <t>Mr. Md. Waliul Azam</t>
        </is>
      </c>
      <c r="D345" s="11" t="inlineStr">
        <is>
          <t>Chattogram GEN-A-9</t>
        </is>
      </c>
      <c r="E345" s="11" t="inlineStr">
        <is>
          <t>Mr. Md. Zahidul Islam</t>
        </is>
      </c>
      <c r="F345" s="10" t="n">
        <v>13102</v>
      </c>
      <c r="G345" s="11" t="inlineStr">
        <is>
          <t>CTG (Katgor)-1</t>
        </is>
      </c>
      <c r="H345" s="10" t="n">
        <v>2938</v>
      </c>
      <c r="I345" s="11" t="inlineStr">
        <is>
          <t>Md. Aynul Islam</t>
        </is>
      </c>
      <c r="J345" s="10">
        <f>IF(K345&gt;0, "Completed", "Pending")</f>
        <v/>
      </c>
      <c r="K345" s="10">
        <f>COUNTIF('Survey Responses'!F:F, F345)</f>
        <v/>
      </c>
    </row>
    <row r="346">
      <c r="A346" s="10" t="n">
        <v>345</v>
      </c>
      <c r="B346" s="11" t="inlineStr">
        <is>
          <t>Chattogram-A (GEN-A)</t>
        </is>
      </c>
      <c r="C346" s="11" t="inlineStr">
        <is>
          <t>Mr. Md. Waliul Azam</t>
        </is>
      </c>
      <c r="D346" s="11" t="inlineStr">
        <is>
          <t>Chattogram GEN-A-9</t>
        </is>
      </c>
      <c r="E346" s="11" t="inlineStr">
        <is>
          <t>Mr. Md. Zahidul Islam</t>
        </is>
      </c>
      <c r="F346" s="10" t="n">
        <v>11028</v>
      </c>
      <c r="G346" s="11" t="inlineStr">
        <is>
          <t>CTG (Navy Gate)-1</t>
        </is>
      </c>
      <c r="H346" s="10" t="n">
        <v>1753</v>
      </c>
      <c r="I346" s="11" t="inlineStr">
        <is>
          <t>Md. Abdul Aziz</t>
        </is>
      </c>
      <c r="J346" s="10">
        <f>IF(K346&gt;0, "Completed", "Pending")</f>
        <v/>
      </c>
      <c r="K346" s="10">
        <f>COUNTIF('Survey Responses'!F:F, F346)</f>
        <v/>
      </c>
    </row>
    <row r="347">
      <c r="A347" s="10" t="n">
        <v>346</v>
      </c>
      <c r="B347" s="11" t="inlineStr">
        <is>
          <t>Chattogram-A (GEN-A)</t>
        </is>
      </c>
      <c r="C347" s="11" t="inlineStr">
        <is>
          <t>Mr. Md. Waliul Azam</t>
        </is>
      </c>
      <c r="D347" s="11" t="inlineStr">
        <is>
          <t>Chattogram GEN-A-9</t>
        </is>
      </c>
      <c r="E347" s="11" t="inlineStr">
        <is>
          <t>Mr. Md. Zahidul Islam</t>
        </is>
      </c>
      <c r="F347" s="10" t="n">
        <v>11029</v>
      </c>
      <c r="G347" s="11" t="inlineStr">
        <is>
          <t>CTG (Navy Gate)-2</t>
        </is>
      </c>
      <c r="H347" s="10" t="n">
        <v>1182</v>
      </c>
      <c r="I347" s="11" t="inlineStr">
        <is>
          <t>Md. Abdul Mannan Sarker</t>
        </is>
      </c>
      <c r="J347" s="10">
        <f>IF(K347&gt;0, "Completed", "Pending")</f>
        <v/>
      </c>
      <c r="K347" s="10">
        <f>COUNTIF('Survey Responses'!F:F, F347)</f>
        <v/>
      </c>
    </row>
    <row r="348">
      <c r="A348" s="10" t="n">
        <v>347</v>
      </c>
      <c r="B348" s="11" t="inlineStr">
        <is>
          <t>Chattogram-A (GEN-A)</t>
        </is>
      </c>
      <c r="C348" s="11" t="inlineStr">
        <is>
          <t>Mr. Md. Waliul Azam</t>
        </is>
      </c>
      <c r="D348" s="11" t="inlineStr">
        <is>
          <t>Chattogram GEN-A-9</t>
        </is>
      </c>
      <c r="E348" s="11" t="inlineStr">
        <is>
          <t>Mr. Md. Zahidul Islam</t>
        </is>
      </c>
      <c r="F348" s="10" t="n">
        <v>12348</v>
      </c>
      <c r="G348" s="11" t="inlineStr">
        <is>
          <t>CTG (Navy Gate)-3</t>
        </is>
      </c>
      <c r="H348" s="10" t="n">
        <v>3730</v>
      </c>
      <c r="I348" s="11" t="inlineStr">
        <is>
          <t>Mr. A.T. M Kamruzzaman Sarkar</t>
        </is>
      </c>
      <c r="J348" s="10">
        <f>IF(K348&gt;0, "Completed", "Pending")</f>
        <v/>
      </c>
      <c r="K348" s="10">
        <f>COUNTIF('Survey Responses'!F:F, F348)</f>
        <v/>
      </c>
    </row>
    <row r="349">
      <c r="A349" s="10" t="n">
        <v>348</v>
      </c>
      <c r="B349" s="11" t="inlineStr">
        <is>
          <t>Chattogram-A (GEN-A)</t>
        </is>
      </c>
      <c r="C349" s="11" t="inlineStr">
        <is>
          <t>Mr. Md. Waliul Azam</t>
        </is>
      </c>
      <c r="D349" s="11" t="inlineStr">
        <is>
          <t>Chattogram GEN-A-9</t>
        </is>
      </c>
      <c r="E349" s="11" t="inlineStr">
        <is>
          <t>Mr. Md. Zahidul Islam</t>
        </is>
      </c>
      <c r="F349" s="10" t="n">
        <v>14708</v>
      </c>
      <c r="G349" s="11" t="inlineStr">
        <is>
          <t>CTG (Navy Gate)-4</t>
        </is>
      </c>
      <c r="H349" s="10" t="n">
        <v>8783</v>
      </c>
      <c r="I349" s="11" t="inlineStr">
        <is>
          <t>Mr. Md. Shakil Ahamed</t>
        </is>
      </c>
      <c r="J349" s="10">
        <f>IF(K349&gt;0, "Completed", "Pending")</f>
        <v/>
      </c>
      <c r="K349" s="10">
        <f>COUNTIF('Survey Responses'!F:F, F349)</f>
        <v/>
      </c>
    </row>
    <row r="350">
      <c r="A350" s="10" t="n">
        <v>349</v>
      </c>
      <c r="B350" s="11" t="inlineStr">
        <is>
          <t>Chattogram-A (GEN-A)</t>
        </is>
      </c>
      <c r="C350" s="11" t="inlineStr">
        <is>
          <t>Mr. Md. Waliul Azam</t>
        </is>
      </c>
      <c r="D350" s="11" t="inlineStr">
        <is>
          <t>Sandwip GEN-A-1</t>
        </is>
      </c>
      <c r="E350" s="11" t="inlineStr">
        <is>
          <t>Mr. Mohammad Abdul Aziz</t>
        </is>
      </c>
      <c r="F350" s="10" t="n">
        <v>12975</v>
      </c>
      <c r="G350" s="11" t="inlineStr">
        <is>
          <t>Kumira-1</t>
        </is>
      </c>
      <c r="H350" s="10" t="n">
        <v>5292</v>
      </c>
      <c r="I350" s="11" t="inlineStr">
        <is>
          <t>Mr. Md. Refat Dewan</t>
        </is>
      </c>
      <c r="J350" s="10">
        <f>IF(K350&gt;0, "Completed", "Pending")</f>
        <v/>
      </c>
      <c r="K350" s="10">
        <f>COUNTIF('Survey Responses'!F:F, F350)</f>
        <v/>
      </c>
    </row>
    <row r="351">
      <c r="A351" s="10" t="n">
        <v>350</v>
      </c>
      <c r="B351" s="11" t="inlineStr">
        <is>
          <t>Chattogram-A (GEN-A)</t>
        </is>
      </c>
      <c r="C351" s="11" t="inlineStr">
        <is>
          <t>Mr. Md. Waliul Azam</t>
        </is>
      </c>
      <c r="D351" s="11" t="inlineStr">
        <is>
          <t>Sandwip GEN-A-1</t>
        </is>
      </c>
      <c r="E351" s="11" t="inlineStr">
        <is>
          <t>Mr. Mohammad Abdul Aziz</t>
        </is>
      </c>
      <c r="F351" s="10" t="n">
        <v>11080</v>
      </c>
      <c r="G351" s="11" t="inlineStr">
        <is>
          <t>Sandwip-1</t>
        </is>
      </c>
      <c r="H351" s="10" t="n">
        <v>1283</v>
      </c>
      <c r="I351" s="11" t="inlineStr">
        <is>
          <t>Biplop Kumer Roy</t>
        </is>
      </c>
      <c r="J351" s="10">
        <f>IF(K351&gt;0, "Completed", "Pending")</f>
        <v/>
      </c>
      <c r="K351" s="10">
        <f>COUNTIF('Survey Responses'!F:F, F351)</f>
        <v/>
      </c>
    </row>
    <row r="352">
      <c r="A352" s="10" t="n">
        <v>351</v>
      </c>
      <c r="B352" s="11" t="inlineStr">
        <is>
          <t>Chattogram-A (GEN-A)</t>
        </is>
      </c>
      <c r="C352" s="11" t="inlineStr">
        <is>
          <t>Mr. Md. Waliul Azam</t>
        </is>
      </c>
      <c r="D352" s="11" t="inlineStr">
        <is>
          <t>Sandwip GEN-A-1</t>
        </is>
      </c>
      <c r="E352" s="11" t="inlineStr">
        <is>
          <t>Mr. Mohammad Abdul Aziz</t>
        </is>
      </c>
      <c r="F352" s="10" t="n">
        <v>11078</v>
      </c>
      <c r="G352" s="11" t="inlineStr">
        <is>
          <t>Sandwip-2</t>
        </is>
      </c>
      <c r="H352" s="10" t="n">
        <v>1225</v>
      </c>
      <c r="I352" s="11" t="inlineStr">
        <is>
          <t>Gokul Kumar</t>
        </is>
      </c>
      <c r="J352" s="10">
        <f>IF(K352&gt;0, "Completed", "Pending")</f>
        <v/>
      </c>
      <c r="K352" s="10">
        <f>COUNTIF('Survey Responses'!F:F, F352)</f>
        <v/>
      </c>
    </row>
    <row r="353">
      <c r="A353" s="10" t="n">
        <v>352</v>
      </c>
      <c r="B353" s="11" t="inlineStr">
        <is>
          <t>Chattogram-A (GEN-A)</t>
        </is>
      </c>
      <c r="C353" s="11" t="inlineStr">
        <is>
          <t>Mr. Md. Waliul Azam</t>
        </is>
      </c>
      <c r="D353" s="11" t="inlineStr">
        <is>
          <t>Sandwip GEN-A-1</t>
        </is>
      </c>
      <c r="E353" s="11" t="inlineStr">
        <is>
          <t>Mr. Mohammad Abdul Aziz</t>
        </is>
      </c>
      <c r="F353" s="10" t="n">
        <v>11083</v>
      </c>
      <c r="G353" s="11" t="inlineStr">
        <is>
          <t>Sandwip-3</t>
        </is>
      </c>
      <c r="H353" s="10" t="n">
        <v>1884</v>
      </c>
      <c r="I353" s="11" t="inlineStr">
        <is>
          <t>Md. Golam Maula</t>
        </is>
      </c>
      <c r="J353" s="10">
        <f>IF(K353&gt;0, "Completed", "Pending")</f>
        <v/>
      </c>
      <c r="K353" s="10">
        <f>COUNTIF('Survey Responses'!F:F, F353)</f>
        <v/>
      </c>
    </row>
    <row r="354">
      <c r="A354" s="10" t="n">
        <v>353</v>
      </c>
      <c r="B354" s="11" t="inlineStr">
        <is>
          <t>Chattogram-A (GEN-A)</t>
        </is>
      </c>
      <c r="C354" s="11" t="inlineStr">
        <is>
          <t>Mr. Md. Waliul Azam</t>
        </is>
      </c>
      <c r="D354" s="11" t="inlineStr">
        <is>
          <t>Sandwip GEN-A-1</t>
        </is>
      </c>
      <c r="E354" s="11" t="inlineStr">
        <is>
          <t>Mr. Mohammad Abdul Aziz</t>
        </is>
      </c>
      <c r="F354" s="10" t="n">
        <v>11084</v>
      </c>
      <c r="G354" s="11" t="inlineStr">
        <is>
          <t>Sandwip-4</t>
        </is>
      </c>
      <c r="H354" s="10" t="n">
        <v>1570</v>
      </c>
      <c r="I354" s="11" t="inlineStr">
        <is>
          <t>A.S.M Salah Uddin</t>
        </is>
      </c>
      <c r="J354" s="10">
        <f>IF(K354&gt;0, "Completed", "Pending")</f>
        <v/>
      </c>
      <c r="K354" s="10">
        <f>COUNTIF('Survey Responses'!F:F, F354)</f>
        <v/>
      </c>
    </row>
    <row r="355">
      <c r="A355" s="10" t="n">
        <v>354</v>
      </c>
      <c r="B355" s="11" t="inlineStr">
        <is>
          <t>Chattogram-A (GEN-A)</t>
        </is>
      </c>
      <c r="C355" s="11" t="inlineStr">
        <is>
          <t>Mr. Md. Waliul Azam</t>
        </is>
      </c>
      <c r="D355" s="11" t="inlineStr">
        <is>
          <t>Sandwip GEN-A-1</t>
        </is>
      </c>
      <c r="E355" s="11" t="inlineStr">
        <is>
          <t>Mr. Mohammad Abdul Aziz</t>
        </is>
      </c>
      <c r="F355" s="10" t="n">
        <v>13036</v>
      </c>
      <c r="G355" s="11" t="inlineStr">
        <is>
          <t>Sandwip-5</t>
        </is>
      </c>
      <c r="H355" s="10" t="n">
        <v>1099</v>
      </c>
      <c r="I355" s="11" t="inlineStr">
        <is>
          <t>Golam Rahman</t>
        </is>
      </c>
      <c r="J355" s="10">
        <f>IF(K355&gt;0, "Completed", "Pending")</f>
        <v/>
      </c>
      <c r="K355" s="10">
        <f>COUNTIF('Survey Responses'!F:F, F355)</f>
        <v/>
      </c>
    </row>
    <row r="356">
      <c r="A356" s="10" t="n">
        <v>355</v>
      </c>
      <c r="B356" s="11" t="inlineStr">
        <is>
          <t>Chattogram-A (GEN-A)</t>
        </is>
      </c>
      <c r="C356" s="11" t="inlineStr">
        <is>
          <t>Mr. Md. Waliul Azam</t>
        </is>
      </c>
      <c r="D356" s="11" t="inlineStr">
        <is>
          <t>Sandwip GEN-A-1</t>
        </is>
      </c>
      <c r="E356" s="11" t="inlineStr">
        <is>
          <t>Mr. Mohammad Abdul Aziz</t>
        </is>
      </c>
      <c r="F356" s="10" t="n">
        <v>14882</v>
      </c>
      <c r="G356" s="11" t="inlineStr">
        <is>
          <t>Sandwip-6</t>
        </is>
      </c>
      <c r="H356" s="10" t="n">
        <v>1869</v>
      </c>
      <c r="I356" s="11" t="inlineStr">
        <is>
          <t>Md. Anarul Islam</t>
        </is>
      </c>
      <c r="J356" s="10">
        <f>IF(K356&gt;0, "Completed", "Pending")</f>
        <v/>
      </c>
      <c r="K356" s="10">
        <f>COUNTIF('Survey Responses'!F:F, F356)</f>
        <v/>
      </c>
    </row>
    <row r="357">
      <c r="A357" s="10" t="n">
        <v>356</v>
      </c>
      <c r="B357" s="11" t="inlineStr">
        <is>
          <t>Chattogram-A (GEN-A)</t>
        </is>
      </c>
      <c r="C357" s="11" t="inlineStr">
        <is>
          <t>Mr. Md. Waliul Azam</t>
        </is>
      </c>
      <c r="D357" s="11" t="inlineStr">
        <is>
          <t>Sitakundu GEN-A-1</t>
        </is>
      </c>
      <c r="E357" s="11" t="inlineStr">
        <is>
          <t>Mr. Riazul Mostafa</t>
        </is>
      </c>
      <c r="F357" s="10" t="n">
        <v>11093</v>
      </c>
      <c r="G357" s="11" t="inlineStr">
        <is>
          <t>Mirsorai-1</t>
        </is>
      </c>
      <c r="H357" s="10" t="n">
        <v>983</v>
      </c>
      <c r="I357" s="11" t="inlineStr">
        <is>
          <t>Md. Saheb Ali</t>
        </is>
      </c>
      <c r="J357" s="10">
        <f>IF(K357&gt;0, "Completed", "Pending")</f>
        <v/>
      </c>
      <c r="K357" s="10">
        <f>COUNTIF('Survey Responses'!F:F, F357)</f>
        <v/>
      </c>
    </row>
    <row r="358">
      <c r="A358" s="10" t="n">
        <v>357</v>
      </c>
      <c r="B358" s="11" t="inlineStr">
        <is>
          <t>Chattogram-A (GEN-A)</t>
        </is>
      </c>
      <c r="C358" s="11" t="inlineStr">
        <is>
          <t>Mr. Md. Waliul Azam</t>
        </is>
      </c>
      <c r="D358" s="11" t="inlineStr">
        <is>
          <t>Sitakundu GEN-A-1</t>
        </is>
      </c>
      <c r="E358" s="11" t="inlineStr">
        <is>
          <t>Mr. Riazul Mostafa</t>
        </is>
      </c>
      <c r="F358" s="10" t="n">
        <v>11094</v>
      </c>
      <c r="G358" s="11" t="inlineStr">
        <is>
          <t>Mirsorai-2</t>
        </is>
      </c>
      <c r="H358" s="10" t="n">
        <v>3004</v>
      </c>
      <c r="I358" s="11" t="inlineStr">
        <is>
          <t>Md. Mehedi Hasan</t>
        </is>
      </c>
      <c r="J358" s="10">
        <f>IF(K358&gt;0, "Completed", "Pending")</f>
        <v/>
      </c>
      <c r="K358" s="10">
        <f>COUNTIF('Survey Responses'!F:F, F358)</f>
        <v/>
      </c>
    </row>
    <row r="359">
      <c r="A359" s="10" t="n">
        <v>358</v>
      </c>
      <c r="B359" s="11" t="inlineStr">
        <is>
          <t>Chattogram-A (GEN-A)</t>
        </is>
      </c>
      <c r="C359" s="11" t="inlineStr">
        <is>
          <t>Mr. Md. Waliul Azam</t>
        </is>
      </c>
      <c r="D359" s="11" t="inlineStr">
        <is>
          <t>Sitakundu GEN-A-1</t>
        </is>
      </c>
      <c r="E359" s="11" t="inlineStr">
        <is>
          <t>Mr. Riazul Mostafa</t>
        </is>
      </c>
      <c r="F359" s="10" t="n">
        <v>14864</v>
      </c>
      <c r="G359" s="11" t="inlineStr">
        <is>
          <t>Mirsorai-3</t>
        </is>
      </c>
      <c r="H359" s="10" t="n">
        <v>0</v>
      </c>
      <c r="I359" s="11" t="inlineStr">
        <is>
          <t>Mirsorai-3</t>
        </is>
      </c>
      <c r="J359" s="10">
        <f>IF(K359&gt;0, "Completed", "Pending")</f>
        <v/>
      </c>
      <c r="K359" s="10">
        <f>COUNTIF('Survey Responses'!F:F, F359)</f>
        <v/>
      </c>
    </row>
    <row r="360">
      <c r="A360" s="10" t="n">
        <v>359</v>
      </c>
      <c r="B360" s="11" t="inlineStr">
        <is>
          <t>Chattogram-A (GEN-A)</t>
        </is>
      </c>
      <c r="C360" s="11" t="inlineStr">
        <is>
          <t>Mr. Md. Waliul Azam</t>
        </is>
      </c>
      <c r="D360" s="11" t="inlineStr">
        <is>
          <t>Sitakundu GEN-A-1</t>
        </is>
      </c>
      <c r="E360" s="11" t="inlineStr">
        <is>
          <t>Mr. Riazul Mostafa</t>
        </is>
      </c>
      <c r="F360" s="10" t="n">
        <v>12291</v>
      </c>
      <c r="G360" s="11" t="inlineStr">
        <is>
          <t>Mithachora-1</t>
        </is>
      </c>
      <c r="H360" s="10" t="n">
        <v>1960</v>
      </c>
      <c r="I360" s="11" t="inlineStr">
        <is>
          <t>Md. Masum Ali</t>
        </is>
      </c>
      <c r="J360" s="10">
        <f>IF(K360&gt;0, "Completed", "Pending")</f>
        <v/>
      </c>
      <c r="K360" s="10">
        <f>COUNTIF('Survey Responses'!F:F, F360)</f>
        <v/>
      </c>
    </row>
    <row r="361">
      <c r="A361" s="10" t="n">
        <v>360</v>
      </c>
      <c r="B361" s="11" t="inlineStr">
        <is>
          <t>Chattogram-A (GEN-A)</t>
        </is>
      </c>
      <c r="C361" s="11" t="inlineStr">
        <is>
          <t>Mr. Md. Waliul Azam</t>
        </is>
      </c>
      <c r="D361" s="11" t="inlineStr">
        <is>
          <t>Sitakundu GEN-A-1</t>
        </is>
      </c>
      <c r="E361" s="11" t="inlineStr">
        <is>
          <t>Mr. Riazul Mostafa</t>
        </is>
      </c>
      <c r="F361" s="10" t="n">
        <v>11092</v>
      </c>
      <c r="G361" s="11" t="inlineStr">
        <is>
          <t>Sitakundu-1</t>
        </is>
      </c>
      <c r="H361" s="10" t="n">
        <v>3429</v>
      </c>
      <c r="I361" s="11" t="inlineStr">
        <is>
          <t>Mr. Rothindronath Roy</t>
        </is>
      </c>
      <c r="J361" s="10">
        <f>IF(K361&gt;0, "Completed", "Pending")</f>
        <v/>
      </c>
      <c r="K361" s="10">
        <f>COUNTIF('Survey Responses'!F:F, F361)</f>
        <v/>
      </c>
    </row>
    <row r="362">
      <c r="A362" s="10" t="n">
        <v>361</v>
      </c>
      <c r="B362" s="11" t="inlineStr">
        <is>
          <t>Chattogram-A (GEN-A)</t>
        </is>
      </c>
      <c r="C362" s="11" t="inlineStr">
        <is>
          <t>Mr. Md. Waliul Azam</t>
        </is>
      </c>
      <c r="D362" s="11" t="inlineStr">
        <is>
          <t>Sitakundu GEN-A-1</t>
        </is>
      </c>
      <c r="E362" s="11" t="inlineStr">
        <is>
          <t>Mr. Riazul Mostafa</t>
        </is>
      </c>
      <c r="F362" s="10" t="n">
        <v>11098</v>
      </c>
      <c r="G362" s="11" t="inlineStr">
        <is>
          <t>Sitakundu-2</t>
        </is>
      </c>
      <c r="H362" s="10" t="n">
        <v>8832</v>
      </c>
      <c r="I362" s="11" t="inlineStr">
        <is>
          <t>Mr. Md. Sazib Ahamed</t>
        </is>
      </c>
      <c r="J362" s="10">
        <f>IF(K362&gt;0, "Completed", "Pending")</f>
        <v/>
      </c>
      <c r="K362" s="10">
        <f>COUNTIF('Survey Responses'!F:F, F362)</f>
        <v/>
      </c>
    </row>
    <row r="363">
      <c r="A363" s="10" t="n">
        <v>362</v>
      </c>
      <c r="B363" s="11" t="inlineStr">
        <is>
          <t>Chattogram-A (GEN-A)</t>
        </is>
      </c>
      <c r="C363" s="11" t="inlineStr">
        <is>
          <t>Mr. Md. Waliul Azam</t>
        </is>
      </c>
      <c r="D363" s="11" t="inlineStr">
        <is>
          <t>Sitakundu GEN-A-1</t>
        </is>
      </c>
      <c r="E363" s="11" t="inlineStr">
        <is>
          <t>Mr. Riazul Mostafa</t>
        </is>
      </c>
      <c r="F363" s="10" t="n">
        <v>13330</v>
      </c>
      <c r="G363" s="11" t="inlineStr">
        <is>
          <t>Sitakundu-3</t>
        </is>
      </c>
      <c r="H363" s="10" t="n">
        <v>5970</v>
      </c>
      <c r="I363" s="11" t="inlineStr">
        <is>
          <t>Md. Jakir Hossain</t>
        </is>
      </c>
      <c r="J363" s="10">
        <f>IF(K363&gt;0, "Completed", "Pending")</f>
        <v/>
      </c>
      <c r="K363" s="10">
        <f>COUNTIF('Survey Responses'!F:F, F363)</f>
        <v/>
      </c>
    </row>
    <row r="364">
      <c r="A364" s="10" t="n">
        <v>363</v>
      </c>
      <c r="B364" s="11" t="inlineStr">
        <is>
          <t>Chattogram-A (GEN-A)</t>
        </is>
      </c>
      <c r="C364" s="11" t="inlineStr">
        <is>
          <t>Mr. Md. Waliul Azam</t>
        </is>
      </c>
      <c r="D364" s="11" t="inlineStr">
        <is>
          <t>Sitakundu GEN-A-1</t>
        </is>
      </c>
      <c r="E364" s="11" t="inlineStr">
        <is>
          <t>Mr. Riazul Mostafa</t>
        </is>
      </c>
      <c r="F364" s="10" t="n">
        <v>14545</v>
      </c>
      <c r="G364" s="11" t="inlineStr">
        <is>
          <t>Sitakundu-4</t>
        </is>
      </c>
      <c r="H364" s="10" t="n">
        <v>7614</v>
      </c>
      <c r="I364" s="11" t="inlineStr">
        <is>
          <t>Mr. Md. Omar Faruk</t>
        </is>
      </c>
      <c r="J364" s="10">
        <f>IF(K364&gt;0, "Completed", "Pending")</f>
        <v/>
      </c>
      <c r="K364" s="10">
        <f>COUNTIF('Survey Responses'!F:F, F364)</f>
        <v/>
      </c>
    </row>
    <row r="365">
      <c r="A365" s="10" t="n">
        <v>364</v>
      </c>
      <c r="B365" s="11" t="inlineStr">
        <is>
          <t>Chattogram-B (GEN-A)</t>
        </is>
      </c>
      <c r="C365" s="11" t="inlineStr">
        <is>
          <t>Mr. Saidur Rahman</t>
        </is>
      </c>
      <c r="D365" s="11" t="inlineStr">
        <is>
          <t>Chandraghona GEN-A-1</t>
        </is>
      </c>
      <c r="E365" s="11" t="inlineStr">
        <is>
          <t>Mr. Md. Zakir Hossain</t>
        </is>
      </c>
      <c r="F365" s="10" t="n">
        <v>11100</v>
      </c>
      <c r="G365" s="11" t="inlineStr">
        <is>
          <t>Chandraghona-1</t>
        </is>
      </c>
      <c r="H365" s="10" t="n">
        <v>5498</v>
      </c>
      <c r="I365" s="11" t="inlineStr">
        <is>
          <t>Mr. Md. Mohiuddin</t>
        </is>
      </c>
      <c r="J365" s="10">
        <f>IF(K365&gt;0, "Completed", "Pending")</f>
        <v/>
      </c>
      <c r="K365" s="10">
        <f>COUNTIF('Survey Responses'!F:F, F365)</f>
        <v/>
      </c>
    </row>
    <row r="366">
      <c r="A366" s="10" t="n">
        <v>365</v>
      </c>
      <c r="B366" s="11" t="inlineStr">
        <is>
          <t>Chattogram-B (GEN-A)</t>
        </is>
      </c>
      <c r="C366" s="11" t="inlineStr">
        <is>
          <t>Mr. Saidur Rahman</t>
        </is>
      </c>
      <c r="D366" s="11" t="inlineStr">
        <is>
          <t>Chandraghona GEN-A-1</t>
        </is>
      </c>
      <c r="E366" s="11" t="inlineStr">
        <is>
          <t>Mr. Md. Zakir Hossain</t>
        </is>
      </c>
      <c r="F366" s="10" t="n">
        <v>11102</v>
      </c>
      <c r="G366" s="11" t="inlineStr">
        <is>
          <t>Chandraghona-2</t>
        </is>
      </c>
      <c r="H366" s="10" t="n">
        <v>6958</v>
      </c>
      <c r="I366" s="11" t="inlineStr">
        <is>
          <t>Mr. Hridoy Chandra Sikder</t>
        </is>
      </c>
      <c r="J366" s="10">
        <f>IF(K366&gt;0, "Completed", "Pending")</f>
        <v/>
      </c>
      <c r="K366" s="10">
        <f>COUNTIF('Survey Responses'!F:F, F366)</f>
        <v/>
      </c>
    </row>
    <row r="367">
      <c r="A367" s="10" t="n">
        <v>366</v>
      </c>
      <c r="B367" s="11" t="inlineStr">
        <is>
          <t>Chattogram-B (GEN-A)</t>
        </is>
      </c>
      <c r="C367" s="11" t="inlineStr">
        <is>
          <t>Mr. Saidur Rahman</t>
        </is>
      </c>
      <c r="D367" s="11" t="inlineStr">
        <is>
          <t>Chandraghona GEN-A-1</t>
        </is>
      </c>
      <c r="E367" s="11" t="inlineStr">
        <is>
          <t>Mr. Md. Zakir Hossain</t>
        </is>
      </c>
      <c r="F367" s="10" t="n">
        <v>12908</v>
      </c>
      <c r="G367" s="11" t="inlineStr">
        <is>
          <t>Chandraghona-3</t>
        </is>
      </c>
      <c r="H367" s="10" t="n">
        <v>5067</v>
      </c>
      <c r="I367" s="11" t="inlineStr">
        <is>
          <t>Mr. Md. Abubakar Siddiq</t>
        </is>
      </c>
      <c r="J367" s="10">
        <f>IF(K367&gt;0, "Completed", "Pending")</f>
        <v/>
      </c>
      <c r="K367" s="10">
        <f>COUNTIF('Survey Responses'!F:F, F367)</f>
        <v/>
      </c>
    </row>
    <row r="368">
      <c r="A368" s="10" t="n">
        <v>367</v>
      </c>
      <c r="B368" s="11" t="inlineStr">
        <is>
          <t>Chattogram-B (GEN-A)</t>
        </is>
      </c>
      <c r="C368" s="11" t="inlineStr">
        <is>
          <t>Mr. Saidur Rahman</t>
        </is>
      </c>
      <c r="D368" s="11" t="inlineStr">
        <is>
          <t>Chandraghona GEN-A-1</t>
        </is>
      </c>
      <c r="E368" s="11" t="inlineStr">
        <is>
          <t>Mr. Md. Zakir Hossain</t>
        </is>
      </c>
      <c r="F368" s="10" t="n">
        <v>11104</v>
      </c>
      <c r="G368" s="11" t="inlineStr">
        <is>
          <t>Pahartoli-1</t>
        </is>
      </c>
      <c r="H368" s="10" t="n">
        <v>1893</v>
      </c>
      <c r="I368" s="11" t="inlineStr">
        <is>
          <t>Md. Murad Ali</t>
        </is>
      </c>
      <c r="J368" s="10">
        <f>IF(K368&gt;0, "Completed", "Pending")</f>
        <v/>
      </c>
      <c r="K368" s="10">
        <f>COUNTIF('Survey Responses'!F:F, F368)</f>
        <v/>
      </c>
    </row>
    <row r="369">
      <c r="A369" s="10" t="n">
        <v>368</v>
      </c>
      <c r="B369" s="11" t="inlineStr">
        <is>
          <t>Chattogram-B (GEN-A)</t>
        </is>
      </c>
      <c r="C369" s="11" t="inlineStr">
        <is>
          <t>Mr. Saidur Rahman</t>
        </is>
      </c>
      <c r="D369" s="11" t="inlineStr">
        <is>
          <t>Chandraghona GEN-A-1</t>
        </is>
      </c>
      <c r="E369" s="11" t="inlineStr">
        <is>
          <t>Mr. Md. Zakir Hossain</t>
        </is>
      </c>
      <c r="F369" s="10" t="n">
        <v>11103</v>
      </c>
      <c r="G369" s="11" t="inlineStr">
        <is>
          <t>Rangunia-1</t>
        </is>
      </c>
      <c r="H369" s="10" t="n">
        <v>809</v>
      </c>
      <c r="I369" s="11" t="inlineStr">
        <is>
          <t>Gobinda Chandra Sarkar</t>
        </is>
      </c>
      <c r="J369" s="10">
        <f>IF(K369&gt;0, "Completed", "Pending")</f>
        <v/>
      </c>
      <c r="K369" s="10">
        <f>COUNTIF('Survey Responses'!F:F, F369)</f>
        <v/>
      </c>
    </row>
    <row r="370">
      <c r="A370" s="10" t="n">
        <v>369</v>
      </c>
      <c r="B370" s="11" t="inlineStr">
        <is>
          <t>Chattogram-B (GEN-A)</t>
        </is>
      </c>
      <c r="C370" s="11" t="inlineStr">
        <is>
          <t>Mr. Saidur Rahman</t>
        </is>
      </c>
      <c r="D370" s="11" t="inlineStr">
        <is>
          <t>Chandraghona GEN-A-1</t>
        </is>
      </c>
      <c r="E370" s="11" t="inlineStr">
        <is>
          <t>Mr. Md. Zakir Hossain</t>
        </is>
      </c>
      <c r="F370" s="10" t="n">
        <v>12544</v>
      </c>
      <c r="G370" s="11" t="inlineStr">
        <is>
          <t>Rangunia-2</t>
        </is>
      </c>
      <c r="H370" s="10" t="n">
        <v>6661</v>
      </c>
      <c r="I370" s="11" t="inlineStr">
        <is>
          <t>Mr. Shaddam Hossain</t>
        </is>
      </c>
      <c r="J370" s="10">
        <f>IF(K370&gt;0, "Completed", "Pending")</f>
        <v/>
      </c>
      <c r="K370" s="10">
        <f>COUNTIF('Survey Responses'!F:F, F370)</f>
        <v/>
      </c>
    </row>
    <row r="371">
      <c r="A371" s="10" t="n">
        <v>370</v>
      </c>
      <c r="B371" s="11" t="inlineStr">
        <is>
          <t>Chattogram-B (GEN-A)</t>
        </is>
      </c>
      <c r="C371" s="11" t="inlineStr">
        <is>
          <t>Mr. Saidur Rahman</t>
        </is>
      </c>
      <c r="D371" s="11" t="inlineStr">
        <is>
          <t>Chandraghona GEN-A-1</t>
        </is>
      </c>
      <c r="E371" s="11" t="inlineStr">
        <is>
          <t>Mr. Md. Zakir Hossain</t>
        </is>
      </c>
      <c r="F371" s="10" t="n">
        <v>13179</v>
      </c>
      <c r="G371" s="11" t="inlineStr">
        <is>
          <t>Rangunia-3</t>
        </is>
      </c>
      <c r="H371" s="10" t="n">
        <v>8767</v>
      </c>
      <c r="I371" s="11" t="inlineStr">
        <is>
          <t>Mr. Tuhin Reza</t>
        </is>
      </c>
      <c r="J371" s="10">
        <f>IF(K371&gt;0, "Completed", "Pending")</f>
        <v/>
      </c>
      <c r="K371" s="10">
        <f>COUNTIF('Survey Responses'!F:F, F371)</f>
        <v/>
      </c>
    </row>
    <row r="372">
      <c r="A372" s="10" t="n">
        <v>371</v>
      </c>
      <c r="B372" s="11" t="inlineStr">
        <is>
          <t>Chattogram-B (GEN-A)</t>
        </is>
      </c>
      <c r="C372" s="11" t="inlineStr">
        <is>
          <t>Mr. Saidur Rahman</t>
        </is>
      </c>
      <c r="D372" s="11" t="inlineStr">
        <is>
          <t>Chandraghona GEN-A-1</t>
        </is>
      </c>
      <c r="E372" s="11" t="inlineStr">
        <is>
          <t>Mr. Md. Zakir Hossain</t>
        </is>
      </c>
      <c r="F372" s="10" t="n">
        <v>14535</v>
      </c>
      <c r="G372" s="11" t="inlineStr">
        <is>
          <t>Rangunia-4</t>
        </is>
      </c>
      <c r="H372" s="10" t="n">
        <v>7582</v>
      </c>
      <c r="I372" s="11" t="inlineStr">
        <is>
          <t>Mr. Abdul Jalil</t>
        </is>
      </c>
      <c r="J372" s="10">
        <f>IF(K372&gt;0, "Completed", "Pending")</f>
        <v/>
      </c>
      <c r="K372" s="10">
        <f>COUNTIF('Survey Responses'!F:F, F372)</f>
        <v/>
      </c>
    </row>
    <row r="373">
      <c r="A373" s="10" t="n">
        <v>372</v>
      </c>
      <c r="B373" s="11" t="inlineStr">
        <is>
          <t>Chattogram-B (GEN-A)</t>
        </is>
      </c>
      <c r="C373" s="11" t="inlineStr">
        <is>
          <t>Mr. Saidur Rahman</t>
        </is>
      </c>
      <c r="D373" s="11" t="inlineStr">
        <is>
          <t>Chattogram GEN-A-13</t>
        </is>
      </c>
      <c r="E373" s="11" t="inlineStr">
        <is>
          <t>Mr. Azizul Haque</t>
        </is>
      </c>
      <c r="F373" s="10" t="n">
        <v>11077</v>
      </c>
      <c r="G373" s="11" t="inlineStr">
        <is>
          <t>CTG (Bahadderhat)</t>
        </is>
      </c>
      <c r="H373" s="10" t="n">
        <v>9042</v>
      </c>
      <c r="I373" s="11" t="inlineStr">
        <is>
          <t>Mr. Khokon Kumar</t>
        </is>
      </c>
      <c r="J373" s="10">
        <f>IF(K373&gt;0, "Completed", "Pending")</f>
        <v/>
      </c>
      <c r="K373" s="10">
        <f>COUNTIF('Survey Responses'!F:F, F373)</f>
        <v/>
      </c>
    </row>
    <row r="374">
      <c r="A374" s="10" t="n">
        <v>373</v>
      </c>
      <c r="B374" s="11" t="inlineStr">
        <is>
          <t>Chattogram-B (GEN-A)</t>
        </is>
      </c>
      <c r="C374" s="11" t="inlineStr">
        <is>
          <t>Mr. Saidur Rahman</t>
        </is>
      </c>
      <c r="D374" s="11" t="inlineStr">
        <is>
          <t>Chattogram GEN-A-13</t>
        </is>
      </c>
      <c r="E374" s="11" t="inlineStr">
        <is>
          <t>Mr. Azizul Haque</t>
        </is>
      </c>
      <c r="F374" s="10" t="n">
        <v>11075</v>
      </c>
      <c r="G374" s="11" t="inlineStr">
        <is>
          <t>CTG (Chandgoan)</t>
        </is>
      </c>
      <c r="H374" s="10" t="n">
        <v>1903</v>
      </c>
      <c r="I374" s="11" t="inlineStr">
        <is>
          <t>Md. Ebrahim Ali</t>
        </is>
      </c>
      <c r="J374" s="10">
        <f>IF(K374&gt;0, "Completed", "Pending")</f>
        <v/>
      </c>
      <c r="K374" s="10">
        <f>COUNTIF('Survey Responses'!F:F, F374)</f>
        <v/>
      </c>
    </row>
    <row r="375">
      <c r="A375" s="10" t="n">
        <v>374</v>
      </c>
      <c r="B375" s="11" t="inlineStr">
        <is>
          <t>Chattogram-B (GEN-A)</t>
        </is>
      </c>
      <c r="C375" s="11" t="inlineStr">
        <is>
          <t>Mr. Saidur Rahman</t>
        </is>
      </c>
      <c r="D375" s="11" t="inlineStr">
        <is>
          <t>Chattogram GEN-A-13</t>
        </is>
      </c>
      <c r="E375" s="11" t="inlineStr">
        <is>
          <t>Mr. Azizul Haque</t>
        </is>
      </c>
      <c r="F375" s="10" t="n">
        <v>12543</v>
      </c>
      <c r="G375" s="11" t="inlineStr">
        <is>
          <t>CTG (CIMCH)-1</t>
        </is>
      </c>
      <c r="H375" s="10" t="n">
        <v>3023</v>
      </c>
      <c r="I375" s="11" t="inlineStr">
        <is>
          <t>Md. Ahasan Habib</t>
        </is>
      </c>
      <c r="J375" s="10">
        <f>IF(K375&gt;0, "Completed", "Pending")</f>
        <v/>
      </c>
      <c r="K375" s="10">
        <f>COUNTIF('Survey Responses'!F:F, F375)</f>
        <v/>
      </c>
    </row>
    <row r="376">
      <c r="A376" s="10" t="n">
        <v>375</v>
      </c>
      <c r="B376" s="11" t="inlineStr">
        <is>
          <t>Chattogram-B (GEN-A)</t>
        </is>
      </c>
      <c r="C376" s="11" t="inlineStr">
        <is>
          <t>Mr. Saidur Rahman</t>
        </is>
      </c>
      <c r="D376" s="11" t="inlineStr">
        <is>
          <t>Chattogram GEN-A-13</t>
        </is>
      </c>
      <c r="E376" s="11" t="inlineStr">
        <is>
          <t>Mr. Azizul Haque</t>
        </is>
      </c>
      <c r="F376" s="10" t="n">
        <v>14511</v>
      </c>
      <c r="G376" s="11" t="inlineStr">
        <is>
          <t>CTG (CIMCH)-2</t>
        </is>
      </c>
      <c r="H376" s="10" t="n">
        <v>1896</v>
      </c>
      <c r="I376" s="11" t="inlineStr">
        <is>
          <t>Md. Sarafat Hossain</t>
        </is>
      </c>
      <c r="J376" s="10">
        <f>IF(K376&gt;0, "Completed", "Pending")</f>
        <v/>
      </c>
      <c r="K376" s="10">
        <f>COUNTIF('Survey Responses'!F:F, F376)</f>
        <v/>
      </c>
    </row>
    <row r="377">
      <c r="A377" s="10" t="n">
        <v>376</v>
      </c>
      <c r="B377" s="11" t="inlineStr">
        <is>
          <t>Chattogram-B (GEN-A)</t>
        </is>
      </c>
      <c r="C377" s="11" t="inlineStr">
        <is>
          <t>Mr. Saidur Rahman</t>
        </is>
      </c>
      <c r="D377" s="11" t="inlineStr">
        <is>
          <t>Chattogram GEN-A-13</t>
        </is>
      </c>
      <c r="E377" s="11" t="inlineStr">
        <is>
          <t>Mr. Azizul Haque</t>
        </is>
      </c>
      <c r="F377" s="10" t="n">
        <v>11099</v>
      </c>
      <c r="G377" s="11" t="inlineStr">
        <is>
          <t>CTG (Noapara)-1</t>
        </is>
      </c>
      <c r="H377" s="10" t="n">
        <v>1063</v>
      </c>
      <c r="I377" s="11" t="inlineStr">
        <is>
          <t>Md. Roknuzzaman</t>
        </is>
      </c>
      <c r="J377" s="10">
        <f>IF(K377&gt;0, "Completed", "Pending")</f>
        <v/>
      </c>
      <c r="K377" s="10">
        <f>COUNTIF('Survey Responses'!F:F, F377)</f>
        <v/>
      </c>
    </row>
    <row r="378">
      <c r="A378" s="10" t="n">
        <v>377</v>
      </c>
      <c r="B378" s="11" t="inlineStr">
        <is>
          <t>Chattogram-B (GEN-A)</t>
        </is>
      </c>
      <c r="C378" s="11" t="inlineStr">
        <is>
          <t>Mr. Saidur Rahman</t>
        </is>
      </c>
      <c r="D378" s="11" t="inlineStr">
        <is>
          <t>Chattogram GEN-A-13</t>
        </is>
      </c>
      <c r="E378" s="11" t="inlineStr">
        <is>
          <t>Mr. Azizul Haque</t>
        </is>
      </c>
      <c r="F378" s="10" t="n">
        <v>12542</v>
      </c>
      <c r="G378" s="11" t="inlineStr">
        <is>
          <t>CTG (Noapara)-2</t>
        </is>
      </c>
      <c r="H378" s="10" t="n">
        <v>6138</v>
      </c>
      <c r="I378" s="11" t="inlineStr">
        <is>
          <t>Mr. S. M Sadekur Rahman</t>
        </is>
      </c>
      <c r="J378" s="10">
        <f>IF(K378&gt;0, "Completed", "Pending")</f>
        <v/>
      </c>
      <c r="K378" s="10">
        <f>COUNTIF('Survey Responses'!F:F, F378)</f>
        <v/>
      </c>
    </row>
    <row r="379">
      <c r="A379" s="10" t="n">
        <v>378</v>
      </c>
      <c r="B379" s="11" t="inlineStr">
        <is>
          <t>Chattogram-B (GEN-A)</t>
        </is>
      </c>
      <c r="C379" s="11" t="inlineStr">
        <is>
          <t>Mr. Saidur Rahman</t>
        </is>
      </c>
      <c r="D379" s="11" t="inlineStr">
        <is>
          <t>Chattogram GEN-A-13</t>
        </is>
      </c>
      <c r="E379" s="11" t="inlineStr">
        <is>
          <t>Mr. Azizul Haque</t>
        </is>
      </c>
      <c r="F379" s="10" t="n">
        <v>11074</v>
      </c>
      <c r="G379" s="11" t="inlineStr">
        <is>
          <t>Nazumiarhat</t>
        </is>
      </c>
      <c r="H379" s="10" t="n">
        <v>963</v>
      </c>
      <c r="I379" s="11" t="inlineStr">
        <is>
          <t>Md. Azizur Rahman</t>
        </is>
      </c>
      <c r="J379" s="10">
        <f>IF(K379&gt;0, "Completed", "Pending")</f>
        <v/>
      </c>
      <c r="K379" s="10">
        <f>COUNTIF('Survey Responses'!F:F, F379)</f>
        <v/>
      </c>
    </row>
    <row r="380">
      <c r="A380" s="10" t="n">
        <v>379</v>
      </c>
      <c r="B380" s="11" t="inlineStr">
        <is>
          <t>Chattogram-B (GEN-A)</t>
        </is>
      </c>
      <c r="C380" s="11" t="inlineStr">
        <is>
          <t>Mr. Saidur Rahman</t>
        </is>
      </c>
      <c r="D380" s="11" t="inlineStr">
        <is>
          <t>Chattogram GEN-A-13</t>
        </is>
      </c>
      <c r="E380" s="11" t="inlineStr">
        <is>
          <t>Mr. Azizul Haque</t>
        </is>
      </c>
      <c r="F380" s="10" t="n">
        <v>14854</v>
      </c>
      <c r="G380" s="11" t="inlineStr">
        <is>
          <t>Nazumiarhat-2</t>
        </is>
      </c>
      <c r="H380" s="10" t="n">
        <v>8970</v>
      </c>
      <c r="I380" s="11" t="inlineStr">
        <is>
          <t>Mr. Md. Khairoul Bashar</t>
        </is>
      </c>
      <c r="J380" s="10">
        <f>IF(K380&gt;0, "Completed", "Pending")</f>
        <v/>
      </c>
      <c r="K380" s="10">
        <f>COUNTIF('Survey Responses'!F:F, F380)</f>
        <v/>
      </c>
    </row>
    <row r="381">
      <c r="A381" s="10" t="n">
        <v>380</v>
      </c>
      <c r="B381" s="11" t="inlineStr">
        <is>
          <t>Chattogram-B (GEN-A)</t>
        </is>
      </c>
      <c r="C381" s="11" t="inlineStr">
        <is>
          <t>Mr. Saidur Rahman</t>
        </is>
      </c>
      <c r="D381" s="11" t="inlineStr">
        <is>
          <t>Chattogram GEN-A-4</t>
        </is>
      </c>
      <c r="E381" s="11" t="inlineStr">
        <is>
          <t>Mahmodul Haque</t>
        </is>
      </c>
      <c r="F381" s="10" t="n">
        <v>11126</v>
      </c>
      <c r="G381" s="11" t="inlineStr">
        <is>
          <t>CTG (Ashkerdighi)</t>
        </is>
      </c>
      <c r="H381" s="10" t="n">
        <v>1806</v>
      </c>
      <c r="I381" s="11" t="inlineStr">
        <is>
          <t>Rajesh Kumar Paul</t>
        </is>
      </c>
      <c r="J381" s="10">
        <f>IF(K381&gt;0, "Completed", "Pending")</f>
        <v/>
      </c>
      <c r="K381" s="10">
        <f>COUNTIF('Survey Responses'!F:F, F381)</f>
        <v/>
      </c>
    </row>
    <row r="382">
      <c r="A382" s="10" t="n">
        <v>381</v>
      </c>
      <c r="B382" s="11" t="inlineStr">
        <is>
          <t>Chattogram-B (GEN-A)</t>
        </is>
      </c>
      <c r="C382" s="11" t="inlineStr">
        <is>
          <t>Mr. Saidur Rahman</t>
        </is>
      </c>
      <c r="D382" s="11" t="inlineStr">
        <is>
          <t>Chattogram GEN-A-4</t>
        </is>
      </c>
      <c r="E382" s="11" t="inlineStr">
        <is>
          <t>Mahmodul Haque</t>
        </is>
      </c>
      <c r="F382" s="10" t="n">
        <v>13238</v>
      </c>
      <c r="G382" s="11" t="inlineStr">
        <is>
          <t>CTG (Feringee Bazar)-1</t>
        </is>
      </c>
      <c r="H382" s="10" t="n">
        <v>5869</v>
      </c>
      <c r="I382" s="11" t="inlineStr">
        <is>
          <t>Mr. Md. Shamim Reza</t>
        </is>
      </c>
      <c r="J382" s="10">
        <f>IF(K382&gt;0, "Completed", "Pending")</f>
        <v/>
      </c>
      <c r="K382" s="10">
        <f>COUNTIF('Survey Responses'!F:F, F382)</f>
        <v/>
      </c>
    </row>
    <row r="383">
      <c r="A383" s="10" t="n">
        <v>382</v>
      </c>
      <c r="B383" s="11" t="inlineStr">
        <is>
          <t>Chattogram-B (GEN-A)</t>
        </is>
      </c>
      <c r="C383" s="11" t="inlineStr">
        <is>
          <t>Mr. Saidur Rahman</t>
        </is>
      </c>
      <c r="D383" s="11" t="inlineStr">
        <is>
          <t>Chattogram GEN-A-4</t>
        </is>
      </c>
      <c r="E383" s="11" t="inlineStr">
        <is>
          <t>Mahmodul Haque</t>
        </is>
      </c>
      <c r="F383" s="10" t="n">
        <v>11127</v>
      </c>
      <c r="G383" s="11" t="inlineStr">
        <is>
          <t>CTG (General Hospital)-1</t>
        </is>
      </c>
      <c r="H383" s="10" t="n">
        <v>6867</v>
      </c>
      <c r="I383" s="11" t="inlineStr">
        <is>
          <t>Mr. Sagor Ali</t>
        </is>
      </c>
      <c r="J383" s="10">
        <f>IF(K383&gt;0, "Completed", "Pending")</f>
        <v/>
      </c>
      <c r="K383" s="10">
        <f>COUNTIF('Survey Responses'!F:F, F383)</f>
        <v/>
      </c>
    </row>
    <row r="384">
      <c r="A384" s="10" t="n">
        <v>383</v>
      </c>
      <c r="B384" s="11" t="inlineStr">
        <is>
          <t>Chattogram-B (GEN-A)</t>
        </is>
      </c>
      <c r="C384" s="11" t="inlineStr">
        <is>
          <t>Mr. Saidur Rahman</t>
        </is>
      </c>
      <c r="D384" s="11" t="inlineStr">
        <is>
          <t>Chattogram GEN-A-4</t>
        </is>
      </c>
      <c r="E384" s="11" t="inlineStr">
        <is>
          <t>Mahmodul Haque</t>
        </is>
      </c>
      <c r="F384" s="10" t="n">
        <v>11125</v>
      </c>
      <c r="G384" s="11" t="inlineStr">
        <is>
          <t>CTG (Jamal Khan)-1</t>
        </is>
      </c>
      <c r="H384" s="10" t="n">
        <v>1594</v>
      </c>
      <c r="I384" s="11" t="inlineStr">
        <is>
          <t>Md. Azizul Haque</t>
        </is>
      </c>
      <c r="J384" s="10">
        <f>IF(K384&gt;0, "Completed", "Pending")</f>
        <v/>
      </c>
      <c r="K384" s="10">
        <f>COUNTIF('Survey Responses'!F:F, F384)</f>
        <v/>
      </c>
    </row>
    <row r="385">
      <c r="A385" s="10" t="n">
        <v>384</v>
      </c>
      <c r="B385" s="11" t="inlineStr">
        <is>
          <t>Chattogram-B (GEN-A)</t>
        </is>
      </c>
      <c r="C385" s="11" t="inlineStr">
        <is>
          <t>Mr. Saidur Rahman</t>
        </is>
      </c>
      <c r="D385" s="11" t="inlineStr">
        <is>
          <t>Chattogram GEN-A-4</t>
        </is>
      </c>
      <c r="E385" s="11" t="inlineStr">
        <is>
          <t>Mahmodul Haque</t>
        </is>
      </c>
      <c r="F385" s="10" t="n">
        <v>12294</v>
      </c>
      <c r="G385" s="11" t="inlineStr">
        <is>
          <t>CTG (Jamal Khan)-2</t>
        </is>
      </c>
      <c r="H385" s="10" t="n">
        <v>3676</v>
      </c>
      <c r="I385" s="11" t="inlineStr">
        <is>
          <t>Mr. Dilip Kumar Roy</t>
        </is>
      </c>
      <c r="J385" s="10">
        <f>IF(K385&gt;0, "Completed", "Pending")</f>
        <v/>
      </c>
      <c r="K385" s="10">
        <f>COUNTIF('Survey Responses'!F:F, F385)</f>
        <v/>
      </c>
    </row>
    <row r="386">
      <c r="A386" s="10" t="n">
        <v>385</v>
      </c>
      <c r="B386" s="11" t="inlineStr">
        <is>
          <t>Chattogram-B (GEN-A)</t>
        </is>
      </c>
      <c r="C386" s="11" t="inlineStr">
        <is>
          <t>Mr. Saidur Rahman</t>
        </is>
      </c>
      <c r="D386" s="11" t="inlineStr">
        <is>
          <t>Chattogram GEN-A-4</t>
        </is>
      </c>
      <c r="E386" s="11" t="inlineStr">
        <is>
          <t>Mahmodul Haque</t>
        </is>
      </c>
      <c r="F386" s="10" t="n">
        <v>11124</v>
      </c>
      <c r="G386" s="11" t="inlineStr">
        <is>
          <t>CTG (Kotwali)</t>
        </is>
      </c>
      <c r="H386" s="10" t="n">
        <v>6253</v>
      </c>
      <c r="I386" s="11" t="inlineStr">
        <is>
          <t>Mr. Halel Mia</t>
        </is>
      </c>
      <c r="J386" s="10">
        <f>IF(K386&gt;0, "Completed", "Pending")</f>
        <v/>
      </c>
      <c r="K386" s="10">
        <f>COUNTIF('Survey Responses'!F:F, F386)</f>
        <v/>
      </c>
    </row>
    <row r="387">
      <c r="A387" s="10" t="n">
        <v>386</v>
      </c>
      <c r="B387" s="11" t="inlineStr">
        <is>
          <t>Chattogram-B (GEN-A)</t>
        </is>
      </c>
      <c r="C387" s="11" t="inlineStr">
        <is>
          <t>Mr. Saidur Rahman</t>
        </is>
      </c>
      <c r="D387" s="11" t="inlineStr">
        <is>
          <t>Chattogram GEN-A-4</t>
        </is>
      </c>
      <c r="E387" s="11" t="inlineStr">
        <is>
          <t>Mahmodul Haque</t>
        </is>
      </c>
      <c r="F387" s="10" t="n">
        <v>11121</v>
      </c>
      <c r="G387" s="11" t="inlineStr">
        <is>
          <t>CTG (Sadar Ghat)</t>
        </is>
      </c>
      <c r="H387" s="10" t="n">
        <v>4159</v>
      </c>
      <c r="I387" s="11" t="inlineStr">
        <is>
          <t>Mr. Suman Sikder</t>
        </is>
      </c>
      <c r="J387" s="10">
        <f>IF(K387&gt;0, "Completed", "Pending")</f>
        <v/>
      </c>
      <c r="K387" s="10">
        <f>COUNTIF('Survey Responses'!F:F, F387)</f>
        <v/>
      </c>
    </row>
    <row r="388">
      <c r="A388" s="10" t="n">
        <v>387</v>
      </c>
      <c r="B388" s="11" t="inlineStr">
        <is>
          <t>Chattogram-B (GEN-A)</t>
        </is>
      </c>
      <c r="C388" s="11" t="inlineStr">
        <is>
          <t>Mr. Saidur Rahman</t>
        </is>
      </c>
      <c r="D388" s="11" t="inlineStr">
        <is>
          <t>Chattogram GEN-A-4</t>
        </is>
      </c>
      <c r="E388" s="11" t="inlineStr">
        <is>
          <t>Mahmodul Haque</t>
        </is>
      </c>
      <c r="F388" s="10" t="n">
        <v>14710</v>
      </c>
      <c r="G388" s="11" t="inlineStr">
        <is>
          <t>CTG (Sadar Ghat)-2</t>
        </is>
      </c>
      <c r="H388" s="10" t="n">
        <v>3265</v>
      </c>
      <c r="I388" s="11" t="inlineStr">
        <is>
          <t>Md. Ashif Iqbal</t>
        </is>
      </c>
      <c r="J388" s="10">
        <f>IF(K388&gt;0, "Completed", "Pending")</f>
        <v/>
      </c>
      <c r="K388" s="10">
        <f>COUNTIF('Survey Responses'!F:F, F388)</f>
        <v/>
      </c>
    </row>
    <row r="389">
      <c r="A389" s="10" t="n">
        <v>388</v>
      </c>
      <c r="B389" s="11" t="inlineStr">
        <is>
          <t>Chattogram-B (GEN-A)</t>
        </is>
      </c>
      <c r="C389" s="11" t="inlineStr">
        <is>
          <t>Mr. Saidur Rahman</t>
        </is>
      </c>
      <c r="D389" s="11" t="inlineStr">
        <is>
          <t>Chattogram GEN-A-5</t>
        </is>
      </c>
      <c r="E389" s="11" t="inlineStr">
        <is>
          <t>Mr. Md. Ziaur Rahman</t>
        </is>
      </c>
      <c r="F389" s="10" t="n">
        <v>11076</v>
      </c>
      <c r="G389" s="11" t="inlineStr">
        <is>
          <t>Chowdhury Hat-1</t>
        </is>
      </c>
      <c r="H389" s="10" t="n">
        <v>4036</v>
      </c>
      <c r="I389" s="11" t="inlineStr">
        <is>
          <t>Mr. Himangshu Debnath</t>
        </is>
      </c>
      <c r="J389" s="10">
        <f>IF(K389&gt;0, "Completed", "Pending")</f>
        <v/>
      </c>
      <c r="K389" s="10">
        <f>COUNTIF('Survey Responses'!F:F, F389)</f>
        <v/>
      </c>
    </row>
    <row r="390">
      <c r="A390" s="10" t="n">
        <v>389</v>
      </c>
      <c r="B390" s="11" t="inlineStr">
        <is>
          <t>Chattogram-B (GEN-A)</t>
        </is>
      </c>
      <c r="C390" s="11" t="inlineStr">
        <is>
          <t>Mr. Saidur Rahman</t>
        </is>
      </c>
      <c r="D390" s="11" t="inlineStr">
        <is>
          <t>Chattogram GEN-A-5</t>
        </is>
      </c>
      <c r="E390" s="11" t="inlineStr">
        <is>
          <t>Mr. Md. Ziaur Rahman</t>
        </is>
      </c>
      <c r="F390" s="10" t="n">
        <v>12938</v>
      </c>
      <c r="G390" s="11" t="inlineStr">
        <is>
          <t>Chowdhury Hat-2</t>
        </is>
      </c>
      <c r="H390" s="10" t="n">
        <v>5138</v>
      </c>
      <c r="I390" s="11" t="inlineStr">
        <is>
          <t>Mr. Naoshad Hossain</t>
        </is>
      </c>
      <c r="J390" s="10">
        <f>IF(K390&gt;0, "Completed", "Pending")</f>
        <v/>
      </c>
      <c r="K390" s="10">
        <f>COUNTIF('Survey Responses'!F:F, F390)</f>
        <v/>
      </c>
    </row>
    <row r="391">
      <c r="A391" s="10" t="n">
        <v>390</v>
      </c>
      <c r="B391" s="11" t="inlineStr">
        <is>
          <t>Chattogram-B (GEN-A)</t>
        </is>
      </c>
      <c r="C391" s="11" t="inlineStr">
        <is>
          <t>Mr. Saidur Rahman</t>
        </is>
      </c>
      <c r="D391" s="11" t="inlineStr">
        <is>
          <t>Chattogram GEN-A-5</t>
        </is>
      </c>
      <c r="E391" s="11" t="inlineStr">
        <is>
          <t>Mr. Md. Ziaur Rahman</t>
        </is>
      </c>
      <c r="F391" s="10" t="n">
        <v>11072</v>
      </c>
      <c r="G391" s="11" t="inlineStr">
        <is>
          <t>CTG (Aturar Depot)-1</t>
        </is>
      </c>
      <c r="H391" s="10" t="n">
        <v>1701</v>
      </c>
      <c r="I391" s="11" t="inlineStr">
        <is>
          <t>Md. Mizanur Rahman</t>
        </is>
      </c>
      <c r="J391" s="10">
        <f>IF(K391&gt;0, "Completed", "Pending")</f>
        <v/>
      </c>
      <c r="K391" s="10">
        <f>COUNTIF('Survey Responses'!F:F, F391)</f>
        <v/>
      </c>
    </row>
    <row r="392">
      <c r="A392" s="10" t="n">
        <v>391</v>
      </c>
      <c r="B392" s="11" t="inlineStr">
        <is>
          <t>Chattogram-B (GEN-A)</t>
        </is>
      </c>
      <c r="C392" s="11" t="inlineStr">
        <is>
          <t>Mr. Saidur Rahman</t>
        </is>
      </c>
      <c r="D392" s="11" t="inlineStr">
        <is>
          <t>Chattogram GEN-A-5</t>
        </is>
      </c>
      <c r="E392" s="11" t="inlineStr">
        <is>
          <t>Mr. Md. Ziaur Rahman</t>
        </is>
      </c>
      <c r="F392" s="10" t="n">
        <v>13107</v>
      </c>
      <c r="G392" s="11" t="inlineStr">
        <is>
          <t>CTG (Aturar Depot)-2</t>
        </is>
      </c>
      <c r="H392" s="10" t="n">
        <v>7302</v>
      </c>
      <c r="I392" s="11" t="inlineStr">
        <is>
          <t>Mr. Lakkhon Kumar Roy</t>
        </is>
      </c>
      <c r="J392" s="10">
        <f>IF(K392&gt;0, "Completed", "Pending")</f>
        <v/>
      </c>
      <c r="K392" s="10">
        <f>COUNTIF('Survey Responses'!F:F, F392)</f>
        <v/>
      </c>
    </row>
    <row r="393">
      <c r="A393" s="10" t="n">
        <v>392</v>
      </c>
      <c r="B393" s="11" t="inlineStr">
        <is>
          <t>Chattogram-B (GEN-A)</t>
        </is>
      </c>
      <c r="C393" s="11" t="inlineStr">
        <is>
          <t>Mr. Saidur Rahman</t>
        </is>
      </c>
      <c r="D393" s="11" t="inlineStr">
        <is>
          <t>Chattogram GEN-A-5</t>
        </is>
      </c>
      <c r="E393" s="11" t="inlineStr">
        <is>
          <t>Mr. Md. Ziaur Rahman</t>
        </is>
      </c>
      <c r="F393" s="10" t="n">
        <v>11073</v>
      </c>
      <c r="G393" s="11" t="inlineStr">
        <is>
          <t>CTG (Baizid)</t>
        </is>
      </c>
      <c r="H393" s="10" t="n">
        <v>5009</v>
      </c>
      <c r="I393" s="11" t="inlineStr">
        <is>
          <t>Mr. Md. Azizul Haque</t>
        </is>
      </c>
      <c r="J393" s="10">
        <f>IF(K393&gt;0, "Completed", "Pending")</f>
        <v/>
      </c>
      <c r="K393" s="10">
        <f>COUNTIF('Survey Responses'!F:F, F393)</f>
        <v/>
      </c>
    </row>
    <row r="394">
      <c r="A394" s="10" t="n">
        <v>393</v>
      </c>
      <c r="B394" s="11" t="inlineStr">
        <is>
          <t>Chattogram-B (GEN-A)</t>
        </is>
      </c>
      <c r="C394" s="11" t="inlineStr">
        <is>
          <t>Mr. Saidur Rahman</t>
        </is>
      </c>
      <c r="D394" s="11" t="inlineStr">
        <is>
          <t>Chattogram GEN-A-5</t>
        </is>
      </c>
      <c r="E394" s="11" t="inlineStr">
        <is>
          <t>Mr. Md. Ziaur Rahman</t>
        </is>
      </c>
      <c r="F394" s="10" t="n">
        <v>11071</v>
      </c>
      <c r="G394" s="11" t="inlineStr">
        <is>
          <t>CTG (Cantonment G. Hosp)</t>
        </is>
      </c>
      <c r="H394" s="10" t="n">
        <v>1619</v>
      </c>
      <c r="I394" s="11" t="inlineStr">
        <is>
          <t>Md. Shahin Mia</t>
        </is>
      </c>
      <c r="J394" s="10">
        <f>IF(K394&gt;0, "Completed", "Pending")</f>
        <v/>
      </c>
      <c r="K394" s="10">
        <f>COUNTIF('Survey Responses'!F:F, F394)</f>
        <v/>
      </c>
    </row>
    <row r="395">
      <c r="A395" s="10" t="n">
        <v>394</v>
      </c>
      <c r="B395" s="11" t="inlineStr">
        <is>
          <t>Chattogram-B (GEN-A)</t>
        </is>
      </c>
      <c r="C395" s="11" t="inlineStr">
        <is>
          <t>Mr. Saidur Rahman</t>
        </is>
      </c>
      <c r="D395" s="11" t="inlineStr">
        <is>
          <t>Chattogram GEN-A-5</t>
        </is>
      </c>
      <c r="E395" s="11" t="inlineStr">
        <is>
          <t>Mr. Md. Ziaur Rahman</t>
        </is>
      </c>
      <c r="F395" s="10" t="n">
        <v>14658</v>
      </c>
      <c r="G395" s="11" t="inlineStr">
        <is>
          <t>CTG (Cantonment G. Hosp)-2</t>
        </is>
      </c>
      <c r="H395" s="10" t="n">
        <v>2921</v>
      </c>
      <c r="I395" s="11" t="inlineStr">
        <is>
          <t>Md. Abdur Rahman</t>
        </is>
      </c>
      <c r="J395" s="10">
        <f>IF(K395&gt;0, "Completed", "Pending")</f>
        <v/>
      </c>
      <c r="K395" s="10">
        <f>COUNTIF('Survey Responses'!F:F, F395)</f>
        <v/>
      </c>
    </row>
    <row r="396">
      <c r="A396" s="10" t="n">
        <v>395</v>
      </c>
      <c r="B396" s="11" t="inlineStr">
        <is>
          <t>Chattogram-B (GEN-A)</t>
        </is>
      </c>
      <c r="C396" s="11" t="inlineStr">
        <is>
          <t>Mr. Saidur Rahman</t>
        </is>
      </c>
      <c r="D396" s="11" t="inlineStr">
        <is>
          <t>Chattogram GEN-A-5</t>
        </is>
      </c>
      <c r="E396" s="11" t="inlineStr">
        <is>
          <t>Mr. Md. Ziaur Rahman</t>
        </is>
      </c>
      <c r="F396" s="10" t="n">
        <v>12226</v>
      </c>
      <c r="G396" s="11" t="inlineStr">
        <is>
          <t>CTG (Oxygen)-1</t>
        </is>
      </c>
      <c r="H396" s="10" t="n">
        <v>7371</v>
      </c>
      <c r="I396" s="11" t="inlineStr">
        <is>
          <t>Mr. Nayan Chandra</t>
        </is>
      </c>
      <c r="J396" s="10">
        <f>IF(K396&gt;0, "Completed", "Pending")</f>
        <v/>
      </c>
      <c r="K396" s="10">
        <f>COUNTIF('Survey Responses'!F:F, F396)</f>
        <v/>
      </c>
    </row>
    <row r="397">
      <c r="A397" s="10" t="n">
        <v>396</v>
      </c>
      <c r="B397" s="11" t="inlineStr">
        <is>
          <t>Chattogram-B (GEN-A)</t>
        </is>
      </c>
      <c r="C397" s="11" t="inlineStr">
        <is>
          <t>Mr. Saidur Rahman</t>
        </is>
      </c>
      <c r="D397" s="11" t="inlineStr">
        <is>
          <t>Hathazari GEN-A-1</t>
        </is>
      </c>
      <c r="E397" s="11" t="inlineStr">
        <is>
          <t>Mohammad Jamal Hossain</t>
        </is>
      </c>
      <c r="F397" s="10" t="n">
        <v>14704</v>
      </c>
      <c r="G397" s="11" t="inlineStr">
        <is>
          <t xml:space="preserve">Fatehpur-1 </t>
        </is>
      </c>
      <c r="H397" s="10" t="n">
        <v>1698</v>
      </c>
      <c r="I397" s="11" t="inlineStr">
        <is>
          <t>Kisno Pado Barmon</t>
        </is>
      </c>
      <c r="J397" s="10">
        <f>IF(K397&gt;0, "Completed", "Pending")</f>
        <v/>
      </c>
      <c r="K397" s="10">
        <f>COUNTIF('Survey Responses'!F:F, F397)</f>
        <v/>
      </c>
    </row>
    <row r="398">
      <c r="A398" s="10" t="n">
        <v>397</v>
      </c>
      <c r="B398" s="11" t="inlineStr">
        <is>
          <t>Chattogram-B (GEN-A)</t>
        </is>
      </c>
      <c r="C398" s="11" t="inlineStr">
        <is>
          <t>Mr. Saidur Rahman</t>
        </is>
      </c>
      <c r="D398" s="11" t="inlineStr">
        <is>
          <t>Hathazari GEN-A-1</t>
        </is>
      </c>
      <c r="E398" s="11" t="inlineStr">
        <is>
          <t>Mohammad Jamal Hossain</t>
        </is>
      </c>
      <c r="F398" s="10" t="n">
        <v>11015</v>
      </c>
      <c r="G398" s="11" t="inlineStr">
        <is>
          <t>Hathazari-1</t>
        </is>
      </c>
      <c r="H398" s="10" t="n">
        <v>8745</v>
      </c>
      <c r="I398" s="11" t="inlineStr">
        <is>
          <t>Mr. Md. Amirul Islam</t>
        </is>
      </c>
      <c r="J398" s="10">
        <f>IF(K398&gt;0, "Completed", "Pending")</f>
        <v/>
      </c>
      <c r="K398" s="10">
        <f>COUNTIF('Survey Responses'!F:F, F398)</f>
        <v/>
      </c>
    </row>
    <row r="399">
      <c r="A399" s="10" t="n">
        <v>398</v>
      </c>
      <c r="B399" s="11" t="inlineStr">
        <is>
          <t>Chattogram-B (GEN-A)</t>
        </is>
      </c>
      <c r="C399" s="11" t="inlineStr">
        <is>
          <t>Mr. Saidur Rahman</t>
        </is>
      </c>
      <c r="D399" s="11" t="inlineStr">
        <is>
          <t>Hathazari GEN-A-1</t>
        </is>
      </c>
      <c r="E399" s="11" t="inlineStr">
        <is>
          <t>Mohammad Jamal Hossain</t>
        </is>
      </c>
      <c r="F399" s="10" t="n">
        <v>11014</v>
      </c>
      <c r="G399" s="11" t="inlineStr">
        <is>
          <t>Hathazari-2</t>
        </is>
      </c>
      <c r="H399" s="10" t="n">
        <v>5035</v>
      </c>
      <c r="I399" s="11" t="inlineStr">
        <is>
          <t>Mr. Mehedi Hasan</t>
        </is>
      </c>
      <c r="J399" s="10">
        <f>IF(K399&gt;0, "Completed", "Pending")</f>
        <v/>
      </c>
      <c r="K399" s="10">
        <f>COUNTIF('Survey Responses'!F:F, F399)</f>
        <v/>
      </c>
    </row>
    <row r="400">
      <c r="A400" s="10" t="n">
        <v>399</v>
      </c>
      <c r="B400" s="11" t="inlineStr">
        <is>
          <t>Chattogram-B (GEN-A)</t>
        </is>
      </c>
      <c r="C400" s="11" t="inlineStr">
        <is>
          <t>Mr. Saidur Rahman</t>
        </is>
      </c>
      <c r="D400" s="11" t="inlineStr">
        <is>
          <t>Hathazari GEN-A-1</t>
        </is>
      </c>
      <c r="E400" s="11" t="inlineStr">
        <is>
          <t>Mohammad Jamal Hossain</t>
        </is>
      </c>
      <c r="F400" s="10" t="n">
        <v>11013</v>
      </c>
      <c r="G400" s="11" t="inlineStr">
        <is>
          <t>Hathazari-3</t>
        </is>
      </c>
      <c r="H400" s="10" t="n">
        <v>2311</v>
      </c>
      <c r="I400" s="11" t="inlineStr">
        <is>
          <t>Md. Tahidul Islam</t>
        </is>
      </c>
      <c r="J400" s="10">
        <f>IF(K400&gt;0, "Completed", "Pending")</f>
        <v/>
      </c>
      <c r="K400" s="10">
        <f>COUNTIF('Survey Responses'!F:F, F400)</f>
        <v/>
      </c>
    </row>
    <row r="401">
      <c r="A401" s="10" t="n">
        <v>400</v>
      </c>
      <c r="B401" s="11" t="inlineStr">
        <is>
          <t>Chattogram-B (GEN-A)</t>
        </is>
      </c>
      <c r="C401" s="11" t="inlineStr">
        <is>
          <t>Mr. Saidur Rahman</t>
        </is>
      </c>
      <c r="D401" s="11" t="inlineStr">
        <is>
          <t>Hathazari GEN-A-1</t>
        </is>
      </c>
      <c r="E401" s="11" t="inlineStr">
        <is>
          <t>Mohammad Jamal Hossain</t>
        </is>
      </c>
      <c r="F401" s="10" t="n">
        <v>11017</v>
      </c>
      <c r="G401" s="11" t="inlineStr">
        <is>
          <t>Hathazari-4</t>
        </is>
      </c>
      <c r="H401" s="10" t="n">
        <v>6818</v>
      </c>
      <c r="I401" s="11" t="inlineStr">
        <is>
          <t>Mr. Md. Ataur Rahman</t>
        </is>
      </c>
      <c r="J401" s="10">
        <f>IF(K401&gt;0, "Completed", "Pending")</f>
        <v/>
      </c>
      <c r="K401" s="10">
        <f>COUNTIF('Survey Responses'!F:F, F401)</f>
        <v/>
      </c>
    </row>
    <row r="402">
      <c r="A402" s="10" t="n">
        <v>401</v>
      </c>
      <c r="B402" s="11" t="inlineStr">
        <is>
          <t>Chattogram-B (GEN-A)</t>
        </is>
      </c>
      <c r="C402" s="11" t="inlineStr">
        <is>
          <t>Mr. Saidur Rahman</t>
        </is>
      </c>
      <c r="D402" s="11" t="inlineStr">
        <is>
          <t>Hathazari GEN-A-1</t>
        </is>
      </c>
      <c r="E402" s="11" t="inlineStr">
        <is>
          <t>Mohammad Jamal Hossain</t>
        </is>
      </c>
      <c r="F402" s="10" t="n">
        <v>12412</v>
      </c>
      <c r="G402" s="11" t="inlineStr">
        <is>
          <t>Hathazari-5</t>
        </is>
      </c>
      <c r="H402" s="10" t="n">
        <v>1522</v>
      </c>
      <c r="I402" s="11" t="inlineStr">
        <is>
          <t>Md. Jahangir Alom</t>
        </is>
      </c>
      <c r="J402" s="10">
        <f>IF(K402&gt;0, "Completed", "Pending")</f>
        <v/>
      </c>
      <c r="K402" s="10">
        <f>COUNTIF('Survey Responses'!F:F, F402)</f>
        <v/>
      </c>
    </row>
    <row r="403">
      <c r="A403" s="10" t="n">
        <v>402</v>
      </c>
      <c r="B403" s="11" t="inlineStr">
        <is>
          <t>Chattogram-B (GEN-A)</t>
        </is>
      </c>
      <c r="C403" s="11" t="inlineStr">
        <is>
          <t>Mr. Saidur Rahman</t>
        </is>
      </c>
      <c r="D403" s="11" t="inlineStr">
        <is>
          <t>Hathazari GEN-A-1</t>
        </is>
      </c>
      <c r="E403" s="11" t="inlineStr">
        <is>
          <t>Mohammad Jamal Hossain</t>
        </is>
      </c>
      <c r="F403" s="10" t="n">
        <v>13086</v>
      </c>
      <c r="G403" s="11" t="inlineStr">
        <is>
          <t>Hathazari-6</t>
        </is>
      </c>
      <c r="H403" s="10" t="n">
        <v>7627</v>
      </c>
      <c r="I403" s="11" t="inlineStr">
        <is>
          <t>Mr. Md. Tarik Aziz</t>
        </is>
      </c>
      <c r="J403" s="10">
        <f>IF(K403&gt;0, "Completed", "Pending")</f>
        <v/>
      </c>
      <c r="K403" s="10">
        <f>COUNTIF('Survey Responses'!F:F, F403)</f>
        <v/>
      </c>
    </row>
    <row r="404">
      <c r="A404" s="10" t="n">
        <v>403</v>
      </c>
      <c r="B404" s="11" t="inlineStr">
        <is>
          <t>Chattogram-B (GEN-A)</t>
        </is>
      </c>
      <c r="C404" s="11" t="inlineStr">
        <is>
          <t>Mr. Saidur Rahman</t>
        </is>
      </c>
      <c r="D404" s="11" t="inlineStr">
        <is>
          <t>Hathazari GEN-A-1</t>
        </is>
      </c>
      <c r="E404" s="11" t="inlineStr">
        <is>
          <t>Mohammad Jamal Hossain</t>
        </is>
      </c>
      <c r="F404" s="10" t="n">
        <v>13637</v>
      </c>
      <c r="G404" s="11" t="inlineStr">
        <is>
          <t>Sarkerhat-1</t>
        </is>
      </c>
      <c r="H404" s="10" t="n">
        <v>7266</v>
      </c>
      <c r="I404" s="11" t="inlineStr">
        <is>
          <t>Mr. Md. Sawkat Ali</t>
        </is>
      </c>
      <c r="J404" s="10">
        <f>IF(K404&gt;0, "Completed", "Pending")</f>
        <v/>
      </c>
      <c r="K404" s="10">
        <f>COUNTIF('Survey Responses'!F:F, F404)</f>
        <v/>
      </c>
    </row>
    <row r="405">
      <c r="A405" s="10" t="n">
        <v>404</v>
      </c>
      <c r="B405" s="11" t="inlineStr">
        <is>
          <t>Chattogram-B (GEN-A)</t>
        </is>
      </c>
      <c r="C405" s="11" t="inlineStr">
        <is>
          <t>Mr. Saidur Rahman</t>
        </is>
      </c>
      <c r="D405" s="11" t="inlineStr">
        <is>
          <t>Rawjan GEN-A-1</t>
        </is>
      </c>
      <c r="E405" s="11" t="inlineStr">
        <is>
          <t>Mr. Mohammad Jaedul Islam</t>
        </is>
      </c>
      <c r="F405" s="10" t="n">
        <v>12228</v>
      </c>
      <c r="G405" s="11" t="inlineStr">
        <is>
          <t>Azadibazar-1</t>
        </is>
      </c>
      <c r="H405" s="10" t="n">
        <v>3680</v>
      </c>
      <c r="I405" s="11" t="inlineStr">
        <is>
          <t>Mr. Md. Sahadat Zaman</t>
        </is>
      </c>
      <c r="J405" s="10">
        <f>IF(K405&gt;0, "Completed", "Pending")</f>
        <v/>
      </c>
      <c r="K405" s="10">
        <f>COUNTIF('Survey Responses'!F:F, F405)</f>
        <v/>
      </c>
    </row>
    <row r="406">
      <c r="A406" s="10" t="n">
        <v>405</v>
      </c>
      <c r="B406" s="11" t="inlineStr">
        <is>
          <t>Chattogram-B (GEN-A)</t>
        </is>
      </c>
      <c r="C406" s="11" t="inlineStr">
        <is>
          <t>Mr. Saidur Rahman</t>
        </is>
      </c>
      <c r="D406" s="11" t="inlineStr">
        <is>
          <t>Rawjan GEN-A-1</t>
        </is>
      </c>
      <c r="E406" s="11" t="inlineStr">
        <is>
          <t>Mr. Mohammad Jaedul Islam</t>
        </is>
      </c>
      <c r="F406" s="10" t="n">
        <v>11018</v>
      </c>
      <c r="G406" s="11" t="inlineStr">
        <is>
          <t>Gohira-1</t>
        </is>
      </c>
      <c r="H406" s="10" t="n">
        <v>2253</v>
      </c>
      <c r="I406" s="11" t="inlineStr">
        <is>
          <t>Md. Ashraful Alam</t>
        </is>
      </c>
      <c r="J406" s="10">
        <f>IF(K406&gt;0, "Completed", "Pending")</f>
        <v/>
      </c>
      <c r="K406" s="10">
        <f>COUNTIF('Survey Responses'!F:F, F406)</f>
        <v/>
      </c>
    </row>
    <row r="407">
      <c r="A407" s="10" t="n">
        <v>406</v>
      </c>
      <c r="B407" s="11" t="inlineStr">
        <is>
          <t>Chattogram-B (GEN-A)</t>
        </is>
      </c>
      <c r="C407" s="11" t="inlineStr">
        <is>
          <t>Mr. Saidur Rahman</t>
        </is>
      </c>
      <c r="D407" s="11" t="inlineStr">
        <is>
          <t>Rawjan GEN-A-1</t>
        </is>
      </c>
      <c r="E407" s="11" t="inlineStr">
        <is>
          <t>Mr. Mohammad Jaedul Islam</t>
        </is>
      </c>
      <c r="F407" s="10" t="n">
        <v>11105</v>
      </c>
      <c r="G407" s="11" t="inlineStr">
        <is>
          <t>Rangamati-1</t>
        </is>
      </c>
      <c r="H407" s="10" t="n">
        <v>2741</v>
      </c>
      <c r="I407" s="11" t="inlineStr">
        <is>
          <t>Md. Shahanur Rahman</t>
        </is>
      </c>
      <c r="J407" s="10">
        <f>IF(K407&gt;0, "Completed", "Pending")</f>
        <v/>
      </c>
      <c r="K407" s="10">
        <f>COUNTIF('Survey Responses'!F:F, F407)</f>
        <v/>
      </c>
    </row>
    <row r="408">
      <c r="A408" s="10" t="n">
        <v>407</v>
      </c>
      <c r="B408" s="11" t="inlineStr">
        <is>
          <t>Chattogram-B (GEN-A)</t>
        </is>
      </c>
      <c r="C408" s="11" t="inlineStr">
        <is>
          <t>Mr. Saidur Rahman</t>
        </is>
      </c>
      <c r="D408" s="11" t="inlineStr">
        <is>
          <t>Rawjan GEN-A-1</t>
        </is>
      </c>
      <c r="E408" s="11" t="inlineStr">
        <is>
          <t>Mr. Mohammad Jaedul Islam</t>
        </is>
      </c>
      <c r="F408" s="10" t="n">
        <v>11101</v>
      </c>
      <c r="G408" s="11" t="inlineStr">
        <is>
          <t>Rangamati-2</t>
        </is>
      </c>
      <c r="H408" s="10" t="n">
        <v>0</v>
      </c>
      <c r="I408" s="11" t="inlineStr">
        <is>
          <t>Rangamati-2</t>
        </is>
      </c>
      <c r="J408" s="10">
        <f>IF(K408&gt;0, "Completed", "Pending")</f>
        <v/>
      </c>
      <c r="K408" s="10">
        <f>COUNTIF('Survey Responses'!F:F, F408)</f>
        <v/>
      </c>
    </row>
    <row r="409">
      <c r="A409" s="10" t="n">
        <v>408</v>
      </c>
      <c r="B409" s="11" t="inlineStr">
        <is>
          <t>Chattogram-B (GEN-A)</t>
        </is>
      </c>
      <c r="C409" s="11" t="inlineStr">
        <is>
          <t>Mr. Saidur Rahman</t>
        </is>
      </c>
      <c r="D409" s="11" t="inlineStr">
        <is>
          <t>Rawjan GEN-A-1</t>
        </is>
      </c>
      <c r="E409" s="11" t="inlineStr">
        <is>
          <t>Mr. Mohammad Jaedul Islam</t>
        </is>
      </c>
      <c r="F409" s="10" t="n">
        <v>13262</v>
      </c>
      <c r="G409" s="11" t="inlineStr">
        <is>
          <t>Ranirhat-1</t>
        </is>
      </c>
      <c r="H409" s="10" t="n">
        <v>3468</v>
      </c>
      <c r="I409" s="11" t="inlineStr">
        <is>
          <t>Mr. Md. Sayem Khan</t>
        </is>
      </c>
      <c r="J409" s="10">
        <f>IF(K409&gt;0, "Completed", "Pending")</f>
        <v/>
      </c>
      <c r="K409" s="10">
        <f>COUNTIF('Survey Responses'!F:F, F409)</f>
        <v/>
      </c>
    </row>
    <row r="410">
      <c r="A410" s="10" t="n">
        <v>409</v>
      </c>
      <c r="B410" s="11" t="inlineStr">
        <is>
          <t>Chattogram-B (GEN-A)</t>
        </is>
      </c>
      <c r="C410" s="11" t="inlineStr">
        <is>
          <t>Mr. Saidur Rahman</t>
        </is>
      </c>
      <c r="D410" s="11" t="inlineStr">
        <is>
          <t>Rawjan GEN-A-1</t>
        </is>
      </c>
      <c r="E410" s="11" t="inlineStr">
        <is>
          <t>Mr. Mohammad Jaedul Islam</t>
        </is>
      </c>
      <c r="F410" s="10" t="n">
        <v>11012</v>
      </c>
      <c r="G410" s="11" t="inlineStr">
        <is>
          <t>Rawjan-1</t>
        </is>
      </c>
      <c r="H410" s="10" t="n">
        <v>7569</v>
      </c>
      <c r="I410" s="11" t="inlineStr">
        <is>
          <t>Mr. Md. Jan Mahmud</t>
        </is>
      </c>
      <c r="J410" s="10">
        <f>IF(K410&gt;0, "Completed", "Pending")</f>
        <v/>
      </c>
      <c r="K410" s="10">
        <f>COUNTIF('Survey Responses'!F:F, F410)</f>
        <v/>
      </c>
    </row>
    <row r="411">
      <c r="A411" s="10" t="n">
        <v>410</v>
      </c>
      <c r="B411" s="11" t="inlineStr">
        <is>
          <t>Chattogram-B (GEN-A)</t>
        </is>
      </c>
      <c r="C411" s="11" t="inlineStr">
        <is>
          <t>Mr. Saidur Rahman</t>
        </is>
      </c>
      <c r="D411" s="11" t="inlineStr">
        <is>
          <t>Rawjan GEN-A-1</t>
        </is>
      </c>
      <c r="E411" s="11" t="inlineStr">
        <is>
          <t>Mr. Mohammad Jaedul Islam</t>
        </is>
      </c>
      <c r="F411" s="10" t="n">
        <v>11016</v>
      </c>
      <c r="G411" s="11" t="inlineStr">
        <is>
          <t>Rawjan-2</t>
        </is>
      </c>
      <c r="H411" s="10" t="n">
        <v>7221</v>
      </c>
      <c r="I411" s="11" t="inlineStr">
        <is>
          <t>Mr. Nazmul Huda</t>
        </is>
      </c>
      <c r="J411" s="10">
        <f>IF(K411&gt;0, "Completed", "Pending")</f>
        <v/>
      </c>
      <c r="K411" s="10">
        <f>COUNTIF('Survey Responses'!F:F, F411)</f>
        <v/>
      </c>
    </row>
    <row r="412">
      <c r="A412" s="10" t="n">
        <v>411</v>
      </c>
      <c r="B412" s="11" t="inlineStr">
        <is>
          <t>Chattogram-B (GEN-A)</t>
        </is>
      </c>
      <c r="C412" s="11" t="inlineStr">
        <is>
          <t>Mr. Saidur Rahman</t>
        </is>
      </c>
      <c r="D412" s="11" t="inlineStr">
        <is>
          <t>Rawjan GEN-A-1</t>
        </is>
      </c>
      <c r="E412" s="11" t="inlineStr">
        <is>
          <t>Mr. Mohammad Jaedul Islam</t>
        </is>
      </c>
      <c r="F412" s="10" t="n">
        <v>13093</v>
      </c>
      <c r="G412" s="11" t="inlineStr">
        <is>
          <t>Rawjan-3</t>
        </is>
      </c>
      <c r="H412" s="10" t="n">
        <v>5472</v>
      </c>
      <c r="I412" s="11" t="inlineStr">
        <is>
          <t>Mr. Md. Kamrul Hasan</t>
        </is>
      </c>
      <c r="J412" s="10">
        <f>IF(K412&gt;0, "Completed", "Pending")</f>
        <v/>
      </c>
      <c r="K412" s="10">
        <f>COUNTIF('Survey Responses'!F:F, F412)</f>
        <v/>
      </c>
    </row>
    <row r="413">
      <c r="A413" s="10" t="n">
        <v>412</v>
      </c>
      <c r="B413" s="11" t="inlineStr">
        <is>
          <t>Chattogram-C (GEN-A)</t>
        </is>
      </c>
      <c r="C413" s="11" t="inlineStr">
        <is>
          <t>Mr. Md. Mahasin</t>
        </is>
      </c>
      <c r="D413" s="11" t="inlineStr">
        <is>
          <t>Anowara GEN-A-1</t>
        </is>
      </c>
      <c r="E413" s="11" t="inlineStr">
        <is>
          <t>Mr. Sumon Chandra Das</t>
        </is>
      </c>
      <c r="F413" s="10" t="n">
        <v>11134</v>
      </c>
      <c r="G413" s="11" t="inlineStr">
        <is>
          <t>Anowara-1</t>
        </is>
      </c>
      <c r="H413" s="10" t="n">
        <v>3596</v>
      </c>
      <c r="I413" s="11" t="inlineStr">
        <is>
          <t>Mr. Md. Sohel Tanvir</t>
        </is>
      </c>
      <c r="J413" s="10">
        <f>IF(K413&gt;0, "Completed", "Pending")</f>
        <v/>
      </c>
      <c r="K413" s="10">
        <f>COUNTIF('Survey Responses'!F:F, F413)</f>
        <v/>
      </c>
    </row>
    <row r="414">
      <c r="A414" s="10" t="n">
        <v>413</v>
      </c>
      <c r="B414" s="11" t="inlineStr">
        <is>
          <t>Chattogram-C (GEN-A)</t>
        </is>
      </c>
      <c r="C414" s="11" t="inlineStr">
        <is>
          <t>Mr. Md. Mahasin</t>
        </is>
      </c>
      <c r="D414" s="11" t="inlineStr">
        <is>
          <t>Anowara GEN-A-1</t>
        </is>
      </c>
      <c r="E414" s="11" t="inlineStr">
        <is>
          <t>Mr. Sumon Chandra Das</t>
        </is>
      </c>
      <c r="F414" s="10" t="n">
        <v>11136</v>
      </c>
      <c r="G414" s="11" t="inlineStr">
        <is>
          <t>Anowara-2</t>
        </is>
      </c>
      <c r="H414" s="10" t="n">
        <v>1636</v>
      </c>
      <c r="I414" s="11" t="inlineStr">
        <is>
          <t>Md. Feroz Kabir</t>
        </is>
      </c>
      <c r="J414" s="10">
        <f>IF(K414&gt;0, "Completed", "Pending")</f>
        <v/>
      </c>
      <c r="K414" s="10">
        <f>COUNTIF('Survey Responses'!F:F, F414)</f>
        <v/>
      </c>
    </row>
    <row r="415">
      <c r="A415" s="10" t="n">
        <v>414</v>
      </c>
      <c r="B415" s="11" t="inlineStr">
        <is>
          <t>Chattogram-C (GEN-A)</t>
        </is>
      </c>
      <c r="C415" s="11" t="inlineStr">
        <is>
          <t>Mr. Md. Mahasin</t>
        </is>
      </c>
      <c r="D415" s="11" t="inlineStr">
        <is>
          <t>Anowara GEN-A-1</t>
        </is>
      </c>
      <c r="E415" s="11" t="inlineStr">
        <is>
          <t>Mr. Sumon Chandra Das</t>
        </is>
      </c>
      <c r="F415" s="10" t="n">
        <v>11137</v>
      </c>
      <c r="G415" s="11" t="inlineStr">
        <is>
          <t>Anowara-3</t>
        </is>
      </c>
      <c r="H415" s="10" t="n">
        <v>2256</v>
      </c>
      <c r="I415" s="11" t="inlineStr">
        <is>
          <t>Md. Altab Hossain</t>
        </is>
      </c>
      <c r="J415" s="10">
        <f>IF(K415&gt;0, "Completed", "Pending")</f>
        <v/>
      </c>
      <c r="K415" s="10">
        <f>COUNTIF('Survey Responses'!F:F, F415)</f>
        <v/>
      </c>
    </row>
    <row r="416">
      <c r="A416" s="10" t="n">
        <v>415</v>
      </c>
      <c r="B416" s="11" t="inlineStr">
        <is>
          <t>Chattogram-C (GEN-A)</t>
        </is>
      </c>
      <c r="C416" s="11" t="inlineStr">
        <is>
          <t>Mr. Md. Mahasin</t>
        </is>
      </c>
      <c r="D416" s="11" t="inlineStr">
        <is>
          <t>Anowara GEN-A-1</t>
        </is>
      </c>
      <c r="E416" s="11" t="inlineStr">
        <is>
          <t>Mr. Sumon Chandra Das</t>
        </is>
      </c>
      <c r="F416" s="10" t="n">
        <v>12230</v>
      </c>
      <c r="G416" s="11" t="inlineStr">
        <is>
          <t>Anowara-4</t>
        </is>
      </c>
      <c r="H416" s="10" t="n">
        <v>3610</v>
      </c>
      <c r="I416" s="11" t="inlineStr">
        <is>
          <t>Mr. Md. Alamin Hossain</t>
        </is>
      </c>
      <c r="J416" s="10">
        <f>IF(K416&gt;0, "Completed", "Pending")</f>
        <v/>
      </c>
      <c r="K416" s="10">
        <f>COUNTIF('Survey Responses'!F:F, F416)</f>
        <v/>
      </c>
    </row>
    <row r="417">
      <c r="A417" s="10" t="n">
        <v>416</v>
      </c>
      <c r="B417" s="11" t="inlineStr">
        <is>
          <t>Chattogram-C (GEN-A)</t>
        </is>
      </c>
      <c r="C417" s="11" t="inlineStr">
        <is>
          <t>Mr. Md. Mahasin</t>
        </is>
      </c>
      <c r="D417" s="11" t="inlineStr">
        <is>
          <t>Anowara GEN-A-1</t>
        </is>
      </c>
      <c r="E417" s="11" t="inlineStr">
        <is>
          <t>Mr. Sumon Chandra Das</t>
        </is>
      </c>
      <c r="F417" s="10" t="n">
        <v>12602</v>
      </c>
      <c r="G417" s="11" t="inlineStr">
        <is>
          <t>Anowara-5</t>
        </is>
      </c>
      <c r="H417" s="10" t="n">
        <v>5502</v>
      </c>
      <c r="I417" s="11" t="inlineStr">
        <is>
          <t>Mr. Md. Jahangir Alom</t>
        </is>
      </c>
      <c r="J417" s="10">
        <f>IF(K417&gt;0, "Completed", "Pending")</f>
        <v/>
      </c>
      <c r="K417" s="10">
        <f>COUNTIF('Survey Responses'!F:F, F417)</f>
        <v/>
      </c>
    </row>
    <row r="418">
      <c r="A418" s="10" t="n">
        <v>417</v>
      </c>
      <c r="B418" s="11" t="inlineStr">
        <is>
          <t>Chattogram-C (GEN-A)</t>
        </is>
      </c>
      <c r="C418" s="11" t="inlineStr">
        <is>
          <t>Mr. Md. Mahasin</t>
        </is>
      </c>
      <c r="D418" s="11" t="inlineStr">
        <is>
          <t>Anowara GEN-A-1</t>
        </is>
      </c>
      <c r="E418" s="11" t="inlineStr">
        <is>
          <t>Mr. Sumon Chandra Das</t>
        </is>
      </c>
      <c r="F418" s="10" t="n">
        <v>13176</v>
      </c>
      <c r="G418" s="11" t="inlineStr">
        <is>
          <t>Anowara-6</t>
        </is>
      </c>
      <c r="H418" s="10" t="n">
        <v>7265</v>
      </c>
      <c r="I418" s="11" t="inlineStr">
        <is>
          <t>Mr. Md. Ruhul Kuddus</t>
        </is>
      </c>
      <c r="J418" s="10">
        <f>IF(K418&gt;0, "Completed", "Pending")</f>
        <v/>
      </c>
      <c r="K418" s="10">
        <f>COUNTIF('Survey Responses'!F:F, F418)</f>
        <v/>
      </c>
    </row>
    <row r="419">
      <c r="A419" s="10" t="n">
        <v>418</v>
      </c>
      <c r="B419" s="11" t="inlineStr">
        <is>
          <t>Chattogram-C (GEN-A)</t>
        </is>
      </c>
      <c r="C419" s="11" t="inlineStr">
        <is>
          <t>Mr. Md. Mahasin</t>
        </is>
      </c>
      <c r="D419" s="11" t="inlineStr">
        <is>
          <t>Anowara GEN-A-1</t>
        </is>
      </c>
      <c r="E419" s="11" t="inlineStr">
        <is>
          <t>Mr. Sumon Chandra Das</t>
        </is>
      </c>
      <c r="F419" s="10" t="n">
        <v>14702</v>
      </c>
      <c r="G419" s="11" t="inlineStr">
        <is>
          <t>KEPZ Trust Hospital</t>
        </is>
      </c>
      <c r="H419" s="10" t="n">
        <v>2985</v>
      </c>
      <c r="I419" s="11" t="inlineStr">
        <is>
          <t>Md. Anwar Hossain</t>
        </is>
      </c>
      <c r="J419" s="10">
        <f>IF(K419&gt;0, "Completed", "Pending")</f>
        <v/>
      </c>
      <c r="K419" s="10">
        <f>COUNTIF('Survey Responses'!F:F, F419)</f>
        <v/>
      </c>
    </row>
    <row r="420">
      <c r="A420" s="10" t="n">
        <v>419</v>
      </c>
      <c r="B420" s="11" t="inlineStr">
        <is>
          <t>Chattogram-C (GEN-A)</t>
        </is>
      </c>
      <c r="C420" s="11" t="inlineStr">
        <is>
          <t>Mr. Md. Mahasin</t>
        </is>
      </c>
      <c r="D420" s="11" t="inlineStr">
        <is>
          <t>Anowara GEN-A-1</t>
        </is>
      </c>
      <c r="E420" s="11" t="inlineStr">
        <is>
          <t>Mr. Sumon Chandra Das</t>
        </is>
      </c>
      <c r="F420" s="10" t="n">
        <v>12909</v>
      </c>
      <c r="G420" s="11" t="inlineStr">
        <is>
          <t>Pukuria-1</t>
        </is>
      </c>
      <c r="H420" s="10" t="n">
        <v>5071</v>
      </c>
      <c r="I420" s="11" t="inlineStr">
        <is>
          <t>Mr. Md. Saddam Hosen</t>
        </is>
      </c>
      <c r="J420" s="10">
        <f>IF(K420&gt;0, "Completed", "Pending")</f>
        <v/>
      </c>
      <c r="K420" s="10">
        <f>COUNTIF('Survey Responses'!F:F, F420)</f>
        <v/>
      </c>
    </row>
    <row r="421">
      <c r="A421" s="10" t="n">
        <v>420</v>
      </c>
      <c r="B421" s="11" t="inlineStr">
        <is>
          <t>Chattogram-C (GEN-A)</t>
        </is>
      </c>
      <c r="C421" s="11" t="inlineStr">
        <is>
          <t>Mr. Md. Mahasin</t>
        </is>
      </c>
      <c r="D421" s="11" t="inlineStr">
        <is>
          <t>Banshkhali GEN-A-1</t>
        </is>
      </c>
      <c r="E421" s="11" t="inlineStr">
        <is>
          <t>Anamul Haque</t>
        </is>
      </c>
      <c r="F421" s="10" t="n">
        <v>11139</v>
      </c>
      <c r="G421" s="11" t="inlineStr">
        <is>
          <t>Banshkhali-1</t>
        </is>
      </c>
      <c r="H421" s="10" t="n">
        <v>9083</v>
      </c>
      <c r="I421" s="11" t="inlineStr">
        <is>
          <t>Mr. Farhad Hossain</t>
        </is>
      </c>
      <c r="J421" s="10">
        <f>IF(K421&gt;0, "Completed", "Pending")</f>
        <v/>
      </c>
      <c r="K421" s="10">
        <f>COUNTIF('Survey Responses'!F:F, F421)</f>
        <v/>
      </c>
    </row>
    <row r="422">
      <c r="A422" s="10" t="n">
        <v>421</v>
      </c>
      <c r="B422" s="11" t="inlineStr">
        <is>
          <t>Chattogram-C (GEN-A)</t>
        </is>
      </c>
      <c r="C422" s="11" t="inlineStr">
        <is>
          <t>Mr. Md. Mahasin</t>
        </is>
      </c>
      <c r="D422" s="11" t="inlineStr">
        <is>
          <t>Banshkhali GEN-A-1</t>
        </is>
      </c>
      <c r="E422" s="11" t="inlineStr">
        <is>
          <t>Anamul Haque</t>
        </is>
      </c>
      <c r="F422" s="10" t="n">
        <v>11135</v>
      </c>
      <c r="G422" s="11" t="inlineStr">
        <is>
          <t>Banshkhali-2</t>
        </is>
      </c>
      <c r="H422" s="10" t="n">
        <v>7137</v>
      </c>
      <c r="I422" s="11" t="inlineStr">
        <is>
          <t>Mr. Jothis Chandra</t>
        </is>
      </c>
      <c r="J422" s="10">
        <f>IF(K422&gt;0, "Completed", "Pending")</f>
        <v/>
      </c>
      <c r="K422" s="10">
        <f>COUNTIF('Survey Responses'!F:F, F422)</f>
        <v/>
      </c>
    </row>
    <row r="423">
      <c r="A423" s="10" t="n">
        <v>422</v>
      </c>
      <c r="B423" s="11" t="inlineStr">
        <is>
          <t>Chattogram-C (GEN-A)</t>
        </is>
      </c>
      <c r="C423" s="11" t="inlineStr">
        <is>
          <t>Mr. Md. Mahasin</t>
        </is>
      </c>
      <c r="D423" s="11" t="inlineStr">
        <is>
          <t>Banshkhali GEN-A-1</t>
        </is>
      </c>
      <c r="E423" s="11" t="inlineStr">
        <is>
          <t>Anamul Haque</t>
        </is>
      </c>
      <c r="F423" s="10" t="n">
        <v>11138</v>
      </c>
      <c r="G423" s="11" t="inlineStr">
        <is>
          <t>Banshkhali-3</t>
        </is>
      </c>
      <c r="H423" s="10" t="n">
        <v>2134</v>
      </c>
      <c r="I423" s="11" t="inlineStr">
        <is>
          <t>Haran Chandra Pal</t>
        </is>
      </c>
      <c r="J423" s="10">
        <f>IF(K423&gt;0, "Completed", "Pending")</f>
        <v/>
      </c>
      <c r="K423" s="10">
        <f>COUNTIF('Survey Responses'!F:F, F423)</f>
        <v/>
      </c>
    </row>
    <row r="424">
      <c r="A424" s="10" t="n">
        <v>423</v>
      </c>
      <c r="B424" s="11" t="inlineStr">
        <is>
          <t>Chattogram-C (GEN-A)</t>
        </is>
      </c>
      <c r="C424" s="11" t="inlineStr">
        <is>
          <t>Mr. Md. Mahasin</t>
        </is>
      </c>
      <c r="D424" s="11" t="inlineStr">
        <is>
          <t>Banshkhali GEN-A-1</t>
        </is>
      </c>
      <c r="E424" s="11" t="inlineStr">
        <is>
          <t>Anamul Haque</t>
        </is>
      </c>
      <c r="F424" s="10" t="n">
        <v>12344</v>
      </c>
      <c r="G424" s="11" t="inlineStr">
        <is>
          <t>Banshkhali-4</t>
        </is>
      </c>
      <c r="H424" s="10" t="n">
        <v>3727</v>
      </c>
      <c r="I424" s="11" t="inlineStr">
        <is>
          <t>Mr. Bindu Chandra Sarker</t>
        </is>
      </c>
      <c r="J424" s="10">
        <f>IF(K424&gt;0, "Completed", "Pending")</f>
        <v/>
      </c>
      <c r="K424" s="10">
        <f>COUNTIF('Survey Responses'!F:F, F424)</f>
        <v/>
      </c>
    </row>
    <row r="425">
      <c r="A425" s="10" t="n">
        <v>424</v>
      </c>
      <c r="B425" s="11" t="inlineStr">
        <is>
          <t>Chattogram-C (GEN-A)</t>
        </is>
      </c>
      <c r="C425" s="11" t="inlineStr">
        <is>
          <t>Mr. Md. Mahasin</t>
        </is>
      </c>
      <c r="D425" s="11" t="inlineStr">
        <is>
          <t>Banshkhali GEN-A-1</t>
        </is>
      </c>
      <c r="E425" s="11" t="inlineStr">
        <is>
          <t>Anamul Haque</t>
        </is>
      </c>
      <c r="F425" s="10" t="n">
        <v>13028</v>
      </c>
      <c r="G425" s="11" t="inlineStr">
        <is>
          <t>Banshkhali-5</t>
        </is>
      </c>
      <c r="H425" s="10" t="n">
        <v>6603</v>
      </c>
      <c r="I425" s="11" t="inlineStr">
        <is>
          <t>Mr. Md. Omar Faruque</t>
        </is>
      </c>
      <c r="J425" s="10">
        <f>IF(K425&gt;0, "Completed", "Pending")</f>
        <v/>
      </c>
      <c r="K425" s="10">
        <f>COUNTIF('Survey Responses'!F:F, F425)</f>
        <v/>
      </c>
    </row>
    <row r="426">
      <c r="A426" s="10" t="n">
        <v>425</v>
      </c>
      <c r="B426" s="11" t="inlineStr">
        <is>
          <t>Chattogram-C (GEN-A)</t>
        </is>
      </c>
      <c r="C426" s="11" t="inlineStr">
        <is>
          <t>Mr. Md. Mahasin</t>
        </is>
      </c>
      <c r="D426" s="11" t="inlineStr">
        <is>
          <t>Banshkhali GEN-A-1</t>
        </is>
      </c>
      <c r="E426" s="11" t="inlineStr">
        <is>
          <t>Anamul Haque</t>
        </is>
      </c>
      <c r="F426" s="10" t="n">
        <v>13127</v>
      </c>
      <c r="G426" s="11" t="inlineStr">
        <is>
          <t>Banshkhali-6</t>
        </is>
      </c>
      <c r="H426" s="10" t="n">
        <v>5733</v>
      </c>
      <c r="I426" s="11" t="inlineStr">
        <is>
          <t>Mr. Md. Al-Amin</t>
        </is>
      </c>
      <c r="J426" s="10">
        <f>IF(K426&gt;0, "Completed", "Pending")</f>
        <v/>
      </c>
      <c r="K426" s="10">
        <f>COUNTIF('Survey Responses'!F:F, F426)</f>
        <v/>
      </c>
    </row>
    <row r="427">
      <c r="A427" s="10" t="n">
        <v>426</v>
      </c>
      <c r="B427" s="11" t="inlineStr">
        <is>
          <t>Chattogram-C (GEN-A)</t>
        </is>
      </c>
      <c r="C427" s="11" t="inlineStr">
        <is>
          <t>Mr. Md. Mahasin</t>
        </is>
      </c>
      <c r="D427" s="11" t="inlineStr">
        <is>
          <t>Banshkhali GEN-A-1</t>
        </is>
      </c>
      <c r="E427" s="11" t="inlineStr">
        <is>
          <t>Anamul Haque</t>
        </is>
      </c>
      <c r="F427" s="10" t="n">
        <v>13308</v>
      </c>
      <c r="G427" s="11" t="inlineStr">
        <is>
          <t>Chambal Bazar</t>
        </is>
      </c>
      <c r="H427" s="10" t="n">
        <v>5919</v>
      </c>
      <c r="I427" s="11" t="inlineStr">
        <is>
          <t>Mr. Md. Motasim Billah</t>
        </is>
      </c>
      <c r="J427" s="10">
        <f>IF(K427&gt;0, "Completed", "Pending")</f>
        <v/>
      </c>
      <c r="K427" s="10">
        <f>COUNTIF('Survey Responses'!F:F, F427)</f>
        <v/>
      </c>
    </row>
    <row r="428">
      <c r="A428" s="10" t="n">
        <v>427</v>
      </c>
      <c r="B428" s="11" t="inlineStr">
        <is>
          <t>Chattogram-C (GEN-A)</t>
        </is>
      </c>
      <c r="C428" s="11" t="inlineStr">
        <is>
          <t>Mr. Md. Mahasin</t>
        </is>
      </c>
      <c r="D428" s="11" t="inlineStr">
        <is>
          <t>Banshkhali GEN-A-1</t>
        </is>
      </c>
      <c r="E428" s="11" t="inlineStr">
        <is>
          <t>Anamul Haque</t>
        </is>
      </c>
      <c r="F428" s="10" t="n">
        <v>14863</v>
      </c>
      <c r="G428" s="11" t="inlineStr">
        <is>
          <t>Chambal Bazar-2</t>
        </is>
      </c>
      <c r="H428" s="10" t="n">
        <v>8981</v>
      </c>
      <c r="I428" s="11" t="inlineStr">
        <is>
          <t>Mr. Mazedul Islam</t>
        </is>
      </c>
      <c r="J428" s="10">
        <f>IF(K428&gt;0, "Completed", "Pending")</f>
        <v/>
      </c>
      <c r="K428" s="10">
        <f>COUNTIF('Survey Responses'!F:F, F428)</f>
        <v/>
      </c>
    </row>
    <row r="429">
      <c r="A429" s="10" t="n">
        <v>428</v>
      </c>
      <c r="B429" s="11" t="inlineStr">
        <is>
          <t>Chattogram-C (GEN-A)</t>
        </is>
      </c>
      <c r="C429" s="11" t="inlineStr">
        <is>
          <t>Mr. Md. Mahasin</t>
        </is>
      </c>
      <c r="D429" s="11" t="inlineStr">
        <is>
          <t>Chattogram GEN-A-1</t>
        </is>
      </c>
      <c r="E429" s="11" t="inlineStr">
        <is>
          <t>Mr. Md. Salimujjaman</t>
        </is>
      </c>
      <c r="F429" s="10" t="n">
        <v>12603</v>
      </c>
      <c r="G429" s="11" t="inlineStr">
        <is>
          <t>CTG (2 No. Gate)-1</t>
        </is>
      </c>
      <c r="H429" s="10" t="n">
        <v>5455</v>
      </c>
      <c r="I429" s="11" t="inlineStr">
        <is>
          <t>Mr. Md. Mofazzol Hossain</t>
        </is>
      </c>
      <c r="J429" s="10">
        <f>IF(K429&gt;0, "Completed", "Pending")</f>
        <v/>
      </c>
      <c r="K429" s="10">
        <f>COUNTIF('Survey Responses'!F:F, F429)</f>
        <v/>
      </c>
    </row>
    <row r="430">
      <c r="A430" s="10" t="n">
        <v>429</v>
      </c>
      <c r="B430" s="11" t="inlineStr">
        <is>
          <t>Chattogram-C (GEN-A)</t>
        </is>
      </c>
      <c r="C430" s="11" t="inlineStr">
        <is>
          <t>Mr. Md. Mahasin</t>
        </is>
      </c>
      <c r="D430" s="11" t="inlineStr">
        <is>
          <t>Chattogram GEN-A-1</t>
        </is>
      </c>
      <c r="E430" s="11" t="inlineStr">
        <is>
          <t>Mr. Md. Salimujjaman</t>
        </is>
      </c>
      <c r="F430" s="10" t="n">
        <v>11119</v>
      </c>
      <c r="G430" s="11" t="inlineStr">
        <is>
          <t>CTG (Lab Aid)-1</t>
        </is>
      </c>
      <c r="H430" s="10" t="n">
        <v>6662</v>
      </c>
      <c r="I430" s="11" t="inlineStr">
        <is>
          <t>Mr. Md. Robel Mia</t>
        </is>
      </c>
      <c r="J430" s="10">
        <f>IF(K430&gt;0, "Completed", "Pending")</f>
        <v/>
      </c>
      <c r="K430" s="10">
        <f>COUNTIF('Survey Responses'!F:F, F430)</f>
        <v/>
      </c>
    </row>
    <row r="431">
      <c r="A431" s="10" t="n">
        <v>430</v>
      </c>
      <c r="B431" s="11" t="inlineStr">
        <is>
          <t>Chattogram-C (GEN-A)</t>
        </is>
      </c>
      <c r="C431" s="11" t="inlineStr">
        <is>
          <t>Mr. Md. Mahasin</t>
        </is>
      </c>
      <c r="D431" s="11" t="inlineStr">
        <is>
          <t>Chattogram GEN-A-1</t>
        </is>
      </c>
      <c r="E431" s="11" t="inlineStr">
        <is>
          <t>Mr. Md. Salimujjaman</t>
        </is>
      </c>
      <c r="F431" s="10" t="n">
        <v>14534</v>
      </c>
      <c r="G431" s="11" t="inlineStr">
        <is>
          <t>CTG (Marine City)-1</t>
        </is>
      </c>
      <c r="H431" s="10" t="n">
        <v>7573</v>
      </c>
      <c r="I431" s="11" t="inlineStr">
        <is>
          <t>Mr. Md. Humayun Kabir</t>
        </is>
      </c>
      <c r="J431" s="10">
        <f>IF(K431&gt;0, "Completed", "Pending")</f>
        <v/>
      </c>
      <c r="K431" s="10">
        <f>COUNTIF('Survey Responses'!F:F, F431)</f>
        <v/>
      </c>
    </row>
    <row r="432">
      <c r="A432" s="10" t="n">
        <v>431</v>
      </c>
      <c r="B432" s="11" t="inlineStr">
        <is>
          <t>Chattogram-C (GEN-A)</t>
        </is>
      </c>
      <c r="C432" s="11" t="inlineStr">
        <is>
          <t>Mr. Md. Mahasin</t>
        </is>
      </c>
      <c r="D432" s="11" t="inlineStr">
        <is>
          <t>Chattogram GEN-A-1</t>
        </is>
      </c>
      <c r="E432" s="11" t="inlineStr">
        <is>
          <t>Mr. Md. Salimujjaman</t>
        </is>
      </c>
      <c r="F432" s="10" t="n">
        <v>11118</v>
      </c>
      <c r="G432" s="11" t="inlineStr">
        <is>
          <t>CTG (Medical Center)</t>
        </is>
      </c>
      <c r="H432" s="10" t="n">
        <v>1295</v>
      </c>
      <c r="I432" s="11" t="inlineStr">
        <is>
          <t>Md. Emdadul Haque</t>
        </is>
      </c>
      <c r="J432" s="10">
        <f>IF(K432&gt;0, "Completed", "Pending")</f>
        <v/>
      </c>
      <c r="K432" s="10">
        <f>COUNTIF('Survey Responses'!F:F, F432)</f>
        <v/>
      </c>
    </row>
    <row r="433">
      <c r="A433" s="10" t="n">
        <v>432</v>
      </c>
      <c r="B433" s="11" t="inlineStr">
        <is>
          <t>Chattogram-C (GEN-A)</t>
        </is>
      </c>
      <c r="C433" s="11" t="inlineStr">
        <is>
          <t>Mr. Md. Mahasin</t>
        </is>
      </c>
      <c r="D433" s="11" t="inlineStr">
        <is>
          <t>Chattogram GEN-A-1</t>
        </is>
      </c>
      <c r="E433" s="11" t="inlineStr">
        <is>
          <t>Mr. Md. Salimujjaman</t>
        </is>
      </c>
      <c r="F433" s="10" t="n">
        <v>11108</v>
      </c>
      <c r="G433" s="11" t="inlineStr">
        <is>
          <t>CTG (Metropolitan Hosp.)-1</t>
        </is>
      </c>
      <c r="H433" s="10" t="n">
        <v>5012</v>
      </c>
      <c r="I433" s="11" t="inlineStr">
        <is>
          <t>Mr. Md. Saddam Hossain</t>
        </is>
      </c>
      <c r="J433" s="10">
        <f>IF(K433&gt;0, "Completed", "Pending")</f>
        <v/>
      </c>
      <c r="K433" s="10">
        <f>COUNTIF('Survey Responses'!F:F, F433)</f>
        <v/>
      </c>
    </row>
    <row r="434">
      <c r="A434" s="10" t="n">
        <v>433</v>
      </c>
      <c r="B434" s="11" t="inlineStr">
        <is>
          <t>Chattogram-C (GEN-A)</t>
        </is>
      </c>
      <c r="C434" s="11" t="inlineStr">
        <is>
          <t>Mr. Md. Mahasin</t>
        </is>
      </c>
      <c r="D434" s="11" t="inlineStr">
        <is>
          <t>Chattogram GEN-A-1</t>
        </is>
      </c>
      <c r="E434" s="11" t="inlineStr">
        <is>
          <t>Mr. Md. Salimujjaman</t>
        </is>
      </c>
      <c r="F434" s="10" t="n">
        <v>11109</v>
      </c>
      <c r="G434" s="11" t="inlineStr">
        <is>
          <t>CTG (Metropolitan Hosp.)-2</t>
        </is>
      </c>
      <c r="H434" s="10" t="n">
        <v>9044</v>
      </c>
      <c r="I434" s="11" t="inlineStr">
        <is>
          <t>Mr. Md. Masum Billah</t>
        </is>
      </c>
      <c r="J434" s="10">
        <f>IF(K434&gt;0, "Completed", "Pending")</f>
        <v/>
      </c>
      <c r="K434" s="10">
        <f>COUNTIF('Survey Responses'!F:F, F434)</f>
        <v/>
      </c>
    </row>
    <row r="435">
      <c r="A435" s="10" t="n">
        <v>434</v>
      </c>
      <c r="B435" s="11" t="inlineStr">
        <is>
          <t>Chattogram-C (GEN-A)</t>
        </is>
      </c>
      <c r="C435" s="11" t="inlineStr">
        <is>
          <t>Mr. Md. Mahasin</t>
        </is>
      </c>
      <c r="D435" s="11" t="inlineStr">
        <is>
          <t>Chattogram GEN-A-1</t>
        </is>
      </c>
      <c r="E435" s="11" t="inlineStr">
        <is>
          <t>Mr. Md. Salimujjaman</t>
        </is>
      </c>
      <c r="F435" s="10" t="n">
        <v>11114</v>
      </c>
      <c r="G435" s="11" t="inlineStr">
        <is>
          <t>CTG (Royal Hosp.)</t>
        </is>
      </c>
      <c r="H435" s="10" t="n">
        <v>1696</v>
      </c>
      <c r="I435" s="11" t="inlineStr">
        <is>
          <t>Md. Mahabub Alam</t>
        </is>
      </c>
      <c r="J435" s="10">
        <f>IF(K435&gt;0, "Completed", "Pending")</f>
        <v/>
      </c>
      <c r="K435" s="10">
        <f>COUNTIF('Survey Responses'!F:F, F435)</f>
        <v/>
      </c>
    </row>
    <row r="436">
      <c r="A436" s="10" t="n">
        <v>435</v>
      </c>
      <c r="B436" s="11" t="inlineStr">
        <is>
          <t>Chattogram-C (GEN-A)</t>
        </is>
      </c>
      <c r="C436" s="11" t="inlineStr">
        <is>
          <t>Mr. Md. Mahasin</t>
        </is>
      </c>
      <c r="D436" s="11" t="inlineStr">
        <is>
          <t>Chattogram GEN-A-10</t>
        </is>
      </c>
      <c r="E436" s="11" t="inlineStr">
        <is>
          <t>Mr. Mohammad Ashadur Rahman</t>
        </is>
      </c>
      <c r="F436" s="10" t="n">
        <v>11036</v>
      </c>
      <c r="G436" s="11" t="inlineStr">
        <is>
          <t>CTG (Bakulia)</t>
        </is>
      </c>
      <c r="H436" s="10" t="n">
        <v>3197</v>
      </c>
      <c r="I436" s="11" t="inlineStr">
        <is>
          <t>Md. Rabiul Islam</t>
        </is>
      </c>
      <c r="J436" s="10">
        <f>IF(K436&gt;0, "Completed", "Pending")</f>
        <v/>
      </c>
      <c r="K436" s="10">
        <f>COUNTIF('Survey Responses'!F:F, F436)</f>
        <v/>
      </c>
    </row>
    <row r="437">
      <c r="A437" s="10" t="n">
        <v>436</v>
      </c>
      <c r="B437" s="11" t="inlineStr">
        <is>
          <t>Chattogram-C (GEN-A)</t>
        </is>
      </c>
      <c r="C437" s="11" t="inlineStr">
        <is>
          <t>Mr. Md. Mahasin</t>
        </is>
      </c>
      <c r="D437" s="11" t="inlineStr">
        <is>
          <t>Chattogram GEN-A-10</t>
        </is>
      </c>
      <c r="E437" s="11" t="inlineStr">
        <is>
          <t>Mr. Mohammad Ashadur Rahman</t>
        </is>
      </c>
      <c r="F437" s="10" t="n">
        <v>12582</v>
      </c>
      <c r="G437" s="11" t="inlineStr">
        <is>
          <t>CTG (CMCH-4)</t>
        </is>
      </c>
      <c r="H437" s="10" t="n">
        <v>5011</v>
      </c>
      <c r="I437" s="11" t="inlineStr">
        <is>
          <t>Mr. Osman Gani</t>
        </is>
      </c>
      <c r="J437" s="10">
        <f>IF(K437&gt;0, "Completed", "Pending")</f>
        <v/>
      </c>
      <c r="K437" s="10">
        <f>COUNTIF('Survey Responses'!F:F, F437)</f>
        <v/>
      </c>
    </row>
    <row r="438">
      <c r="A438" s="10" t="n">
        <v>437</v>
      </c>
      <c r="B438" s="11" t="inlineStr">
        <is>
          <t>Chattogram-C (GEN-A)</t>
        </is>
      </c>
      <c r="C438" s="11" t="inlineStr">
        <is>
          <t>Mr. Md. Mahasin</t>
        </is>
      </c>
      <c r="D438" s="11" t="inlineStr">
        <is>
          <t>Chattogram GEN-A-10</t>
        </is>
      </c>
      <c r="E438" s="11" t="inlineStr">
        <is>
          <t>Mr. Mohammad Ashadur Rahman</t>
        </is>
      </c>
      <c r="F438" s="10" t="n">
        <v>13635</v>
      </c>
      <c r="G438" s="11" t="inlineStr">
        <is>
          <t>CTG (CMCH-5)</t>
        </is>
      </c>
      <c r="H438" s="10" t="n">
        <v>7571</v>
      </c>
      <c r="I438" s="11" t="inlineStr">
        <is>
          <t>Mr. Md. Bachchu Alam</t>
        </is>
      </c>
      <c r="J438" s="10">
        <f>IF(K438&gt;0, "Completed", "Pending")</f>
        <v/>
      </c>
      <c r="K438" s="10">
        <f>COUNTIF('Survey Responses'!F:F, F438)</f>
        <v/>
      </c>
    </row>
    <row r="439">
      <c r="A439" s="10" t="n">
        <v>438</v>
      </c>
      <c r="B439" s="11" t="inlineStr">
        <is>
          <t>Chattogram-C (GEN-A)</t>
        </is>
      </c>
      <c r="C439" s="11" t="inlineStr">
        <is>
          <t>Mr. Md. Mahasin</t>
        </is>
      </c>
      <c r="D439" s="11" t="inlineStr">
        <is>
          <t>Chattogram GEN-A-10</t>
        </is>
      </c>
      <c r="E439" s="11" t="inlineStr">
        <is>
          <t>Mr. Mohammad Ashadur Rahman</t>
        </is>
      </c>
      <c r="F439" s="10" t="n">
        <v>11033</v>
      </c>
      <c r="G439" s="11" t="inlineStr">
        <is>
          <t>CTG (Holy Health)</t>
        </is>
      </c>
      <c r="H439" s="10" t="n">
        <v>9046</v>
      </c>
      <c r="I439" s="11" t="inlineStr">
        <is>
          <t>Mr. Md. Shohid Hasan</t>
        </is>
      </c>
      <c r="J439" s="10">
        <f>IF(K439&gt;0, "Completed", "Pending")</f>
        <v/>
      </c>
      <c r="K439" s="10">
        <f>COUNTIF('Survey Responses'!F:F, F439)</f>
        <v/>
      </c>
    </row>
    <row r="440">
      <c r="A440" s="10" t="n">
        <v>439</v>
      </c>
      <c r="B440" s="11" t="inlineStr">
        <is>
          <t>Chattogram-C (GEN-A)</t>
        </is>
      </c>
      <c r="C440" s="11" t="inlineStr">
        <is>
          <t>Mr. Md. Mahasin</t>
        </is>
      </c>
      <c r="D440" s="11" t="inlineStr">
        <is>
          <t>Chattogram GEN-A-10</t>
        </is>
      </c>
      <c r="E440" s="11" t="inlineStr">
        <is>
          <t>Mr. Mohammad Ashadur Rahman</t>
        </is>
      </c>
      <c r="F440" s="10" t="n">
        <v>12335</v>
      </c>
      <c r="G440" s="11" t="inlineStr">
        <is>
          <t>CTG (Khaza Road)</t>
        </is>
      </c>
      <c r="H440" s="10" t="n">
        <v>3038</v>
      </c>
      <c r="I440" s="11" t="inlineStr">
        <is>
          <t>Nabadwip Dep Nath</t>
        </is>
      </c>
      <c r="J440" s="10">
        <f>IF(K440&gt;0, "Completed", "Pending")</f>
        <v/>
      </c>
      <c r="K440" s="10">
        <f>COUNTIF('Survey Responses'!F:F, F440)</f>
        <v/>
      </c>
    </row>
    <row r="441">
      <c r="A441" s="10" t="n">
        <v>440</v>
      </c>
      <c r="B441" s="11" t="inlineStr">
        <is>
          <t>Chattogram-C (GEN-A)</t>
        </is>
      </c>
      <c r="C441" s="11" t="inlineStr">
        <is>
          <t>Mr. Md. Mahasin</t>
        </is>
      </c>
      <c r="D441" s="11" t="inlineStr">
        <is>
          <t>Chattogram GEN-A-10</t>
        </is>
      </c>
      <c r="E441" s="11" t="inlineStr">
        <is>
          <t>Mr. Mohammad Ashadur Rahman</t>
        </is>
      </c>
      <c r="F441" s="10" t="n">
        <v>11006</v>
      </c>
      <c r="G441" s="11" t="inlineStr">
        <is>
          <t>CTG (National)-1</t>
        </is>
      </c>
      <c r="H441" s="10" t="n">
        <v>4181</v>
      </c>
      <c r="I441" s="11" t="inlineStr">
        <is>
          <t>Mr. Md. Masud Rana</t>
        </is>
      </c>
      <c r="J441" s="10">
        <f>IF(K441&gt;0, "Completed", "Pending")</f>
        <v/>
      </c>
      <c r="K441" s="10">
        <f>COUNTIF('Survey Responses'!F:F, F441)</f>
        <v/>
      </c>
    </row>
    <row r="442">
      <c r="A442" s="10" t="n">
        <v>441</v>
      </c>
      <c r="B442" s="11" t="inlineStr">
        <is>
          <t>Chattogram-C (GEN-A)</t>
        </is>
      </c>
      <c r="C442" s="11" t="inlineStr">
        <is>
          <t>Mr. Md. Mahasin</t>
        </is>
      </c>
      <c r="D442" s="11" t="inlineStr">
        <is>
          <t>Chattogram GEN-A-10</t>
        </is>
      </c>
      <c r="E442" s="11" t="inlineStr">
        <is>
          <t>Mr. Mohammad Ashadur Rahman</t>
        </is>
      </c>
      <c r="F442" s="10" t="n">
        <v>11007</v>
      </c>
      <c r="G442" s="11" t="inlineStr">
        <is>
          <t>CTG (National)-2</t>
        </is>
      </c>
      <c r="H442" s="10" t="n">
        <v>7404</v>
      </c>
      <c r="I442" s="11" t="inlineStr">
        <is>
          <t>Mr. Md. Pavel Islam</t>
        </is>
      </c>
      <c r="J442" s="10">
        <f>IF(K442&gt;0, "Completed", "Pending")</f>
        <v/>
      </c>
      <c r="K442" s="10">
        <f>COUNTIF('Survey Responses'!F:F, F442)</f>
        <v/>
      </c>
    </row>
    <row r="443">
      <c r="A443" s="10" t="n">
        <v>442</v>
      </c>
      <c r="B443" s="11" t="inlineStr">
        <is>
          <t>Chattogram-C (GEN-A)</t>
        </is>
      </c>
      <c r="C443" s="11" t="inlineStr">
        <is>
          <t>Mr. Md. Mahasin</t>
        </is>
      </c>
      <c r="D443" s="11" t="inlineStr">
        <is>
          <t>Chattogram GEN-A-10</t>
        </is>
      </c>
      <c r="E443" s="11" t="inlineStr">
        <is>
          <t>Mr. Mohammad Ashadur Rahman</t>
        </is>
      </c>
      <c r="F443" s="10" t="n">
        <v>13261</v>
      </c>
      <c r="G443" s="11" t="inlineStr">
        <is>
          <t>CTG (National)-3</t>
        </is>
      </c>
      <c r="H443" s="10" t="n">
        <v>6445</v>
      </c>
      <c r="I443" s="11" t="inlineStr">
        <is>
          <t>Mr. Md. Rajibul Islam</t>
        </is>
      </c>
      <c r="J443" s="10">
        <f>IF(K443&gt;0, "Completed", "Pending")</f>
        <v/>
      </c>
      <c r="K443" s="10">
        <f>COUNTIF('Survey Responses'!F:F, F443)</f>
        <v/>
      </c>
    </row>
    <row r="444">
      <c r="A444" s="10" t="n">
        <v>443</v>
      </c>
      <c r="B444" s="11" t="inlineStr">
        <is>
          <t>Chattogram-C (GEN-A)</t>
        </is>
      </c>
      <c r="C444" s="11" t="inlineStr">
        <is>
          <t>Mr. Md. Mahasin</t>
        </is>
      </c>
      <c r="D444" s="11" t="inlineStr">
        <is>
          <t>Chattogram GEN-A-6</t>
        </is>
      </c>
      <c r="E444" s="11" t="inlineStr">
        <is>
          <t>Mr. Md. Fazlul Haque</t>
        </is>
      </c>
      <c r="F444" s="10" t="n">
        <v>13613</v>
      </c>
      <c r="G444" s="11" t="inlineStr">
        <is>
          <t>CTG (Belle Vue)-1</t>
        </is>
      </c>
      <c r="H444" s="10" t="n">
        <v>8746</v>
      </c>
      <c r="I444" s="11" t="inlineStr">
        <is>
          <t>Mr. Prosanto Chandro Barman</t>
        </is>
      </c>
      <c r="J444" s="10">
        <f>IF(K444&gt;0, "Completed", "Pending")</f>
        <v/>
      </c>
      <c r="K444" s="10">
        <f>COUNTIF('Survey Responses'!F:F, F444)</f>
        <v/>
      </c>
    </row>
    <row r="445">
      <c r="A445" s="10" t="n">
        <v>444</v>
      </c>
      <c r="B445" s="11" t="inlineStr">
        <is>
          <t>Chattogram-C (GEN-A)</t>
        </is>
      </c>
      <c r="C445" s="11" t="inlineStr">
        <is>
          <t>Mr. Md. Mahasin</t>
        </is>
      </c>
      <c r="D445" s="11" t="inlineStr">
        <is>
          <t>Chattogram GEN-A-6</t>
        </is>
      </c>
      <c r="E445" s="11" t="inlineStr">
        <is>
          <t>Mr. Md. Fazlul Haque</t>
        </is>
      </c>
      <c r="F445" s="10" t="n">
        <v>11115</v>
      </c>
      <c r="G445" s="11" t="inlineStr">
        <is>
          <t>CTG (Chevron)-1</t>
        </is>
      </c>
      <c r="H445" s="10" t="n">
        <v>6659</v>
      </c>
      <c r="I445" s="11" t="inlineStr">
        <is>
          <t>Mr. Md. Abdur Rob</t>
        </is>
      </c>
      <c r="J445" s="10">
        <f>IF(K445&gt;0, "Completed", "Pending")</f>
        <v/>
      </c>
      <c r="K445" s="10">
        <f>COUNTIF('Survey Responses'!F:F, F445)</f>
        <v/>
      </c>
    </row>
    <row r="446">
      <c r="A446" s="10" t="n">
        <v>445</v>
      </c>
      <c r="B446" s="11" t="inlineStr">
        <is>
          <t>Chattogram-C (GEN-A)</t>
        </is>
      </c>
      <c r="C446" s="11" t="inlineStr">
        <is>
          <t>Mr. Md. Mahasin</t>
        </is>
      </c>
      <c r="D446" s="11" t="inlineStr">
        <is>
          <t>Chattogram GEN-A-6</t>
        </is>
      </c>
      <c r="E446" s="11" t="inlineStr">
        <is>
          <t>Mr. Md. Fazlul Haque</t>
        </is>
      </c>
      <c r="F446" s="10" t="n">
        <v>11120</v>
      </c>
      <c r="G446" s="11" t="inlineStr">
        <is>
          <t>CTG (Chevron)-2</t>
        </is>
      </c>
      <c r="H446" s="10" t="n">
        <v>3428</v>
      </c>
      <c r="I446" s="11" t="inlineStr">
        <is>
          <t>Mr. Md. Ekbal Hossain</t>
        </is>
      </c>
      <c r="J446" s="10">
        <f>IF(K446&gt;0, "Completed", "Pending")</f>
        <v/>
      </c>
      <c r="K446" s="10">
        <f>COUNTIF('Survey Responses'!F:F, F446)</f>
        <v/>
      </c>
    </row>
    <row r="447">
      <c r="A447" s="10" t="n">
        <v>446</v>
      </c>
      <c r="B447" s="11" t="inlineStr">
        <is>
          <t>Chattogram-C (GEN-A)</t>
        </is>
      </c>
      <c r="C447" s="11" t="inlineStr">
        <is>
          <t>Mr. Md. Mahasin</t>
        </is>
      </c>
      <c r="D447" s="11" t="inlineStr">
        <is>
          <t>Chattogram GEN-A-6</t>
        </is>
      </c>
      <c r="E447" s="11" t="inlineStr">
        <is>
          <t>Mr. Md. Fazlul Haque</t>
        </is>
      </c>
      <c r="F447" s="10" t="n">
        <v>12346</v>
      </c>
      <c r="G447" s="11" t="inlineStr">
        <is>
          <t>CTG (Chevron)-3</t>
        </is>
      </c>
      <c r="H447" s="10" t="n">
        <v>7570</v>
      </c>
      <c r="I447" s="11" t="inlineStr">
        <is>
          <t>Mr. Arjun Chandra Debnath</t>
        </is>
      </c>
      <c r="J447" s="10">
        <f>IF(K447&gt;0, "Completed", "Pending")</f>
        <v/>
      </c>
      <c r="K447" s="10">
        <f>COUNTIF('Survey Responses'!F:F, F447)</f>
        <v/>
      </c>
    </row>
    <row r="448">
      <c r="A448" s="10" t="n">
        <v>447</v>
      </c>
      <c r="B448" s="11" t="inlineStr">
        <is>
          <t>Chattogram-C (GEN-A)</t>
        </is>
      </c>
      <c r="C448" s="11" t="inlineStr">
        <is>
          <t>Mr. Md. Mahasin</t>
        </is>
      </c>
      <c r="D448" s="11" t="inlineStr">
        <is>
          <t>Chattogram GEN-A-6</t>
        </is>
      </c>
      <c r="E448" s="11" t="inlineStr">
        <is>
          <t>Mr. Md. Fazlul Haque</t>
        </is>
      </c>
      <c r="F448" s="10" t="n">
        <v>11038</v>
      </c>
      <c r="G448" s="11" t="inlineStr">
        <is>
          <t>CTG (CMCH-1)</t>
        </is>
      </c>
      <c r="H448" s="10" t="n">
        <v>2300</v>
      </c>
      <c r="I448" s="11" t="inlineStr">
        <is>
          <t>Md. Abu Taleb</t>
        </is>
      </c>
      <c r="J448" s="10">
        <f>IF(K448&gt;0, "Completed", "Pending")</f>
        <v/>
      </c>
      <c r="K448" s="10">
        <f>COUNTIF('Survey Responses'!F:F, F448)</f>
        <v/>
      </c>
    </row>
    <row r="449">
      <c r="A449" s="10" t="n">
        <v>448</v>
      </c>
      <c r="B449" s="11" t="inlineStr">
        <is>
          <t>Chattogram-C (GEN-A)</t>
        </is>
      </c>
      <c r="C449" s="11" t="inlineStr">
        <is>
          <t>Mr. Md. Mahasin</t>
        </is>
      </c>
      <c r="D449" s="11" t="inlineStr">
        <is>
          <t>Chattogram GEN-A-6</t>
        </is>
      </c>
      <c r="E449" s="11" t="inlineStr">
        <is>
          <t>Mr. Md. Fazlul Haque</t>
        </is>
      </c>
      <c r="F449" s="10" t="n">
        <v>11122</v>
      </c>
      <c r="G449" s="11" t="inlineStr">
        <is>
          <t>CTG (Lalkhan Bazar)</t>
        </is>
      </c>
      <c r="H449" s="10" t="n">
        <v>6134</v>
      </c>
      <c r="I449" s="11" t="inlineStr">
        <is>
          <t>Mr. Md. Abu Hannan Bilas</t>
        </is>
      </c>
      <c r="J449" s="10">
        <f>IF(K449&gt;0, "Completed", "Pending")</f>
        <v/>
      </c>
      <c r="K449" s="10">
        <f>COUNTIF('Survey Responses'!F:F, F449)</f>
        <v/>
      </c>
    </row>
    <row r="450">
      <c r="A450" s="10" t="n">
        <v>449</v>
      </c>
      <c r="B450" s="11" t="inlineStr">
        <is>
          <t>Chattogram-C (GEN-A)</t>
        </is>
      </c>
      <c r="C450" s="11" t="inlineStr">
        <is>
          <t>Mr. Md. Mahasin</t>
        </is>
      </c>
      <c r="D450" s="11" t="inlineStr">
        <is>
          <t>Chattogram GEN-A-6</t>
        </is>
      </c>
      <c r="E450" s="11" t="inlineStr">
        <is>
          <t>Mr. Md. Fazlul Haque</t>
        </is>
      </c>
      <c r="F450" s="10" t="n">
        <v>11111</v>
      </c>
      <c r="G450" s="11" t="inlineStr">
        <is>
          <t>CTG (MAX Hospital)-1</t>
        </is>
      </c>
      <c r="H450" s="10" t="n">
        <v>972</v>
      </c>
      <c r="I450" s="11" t="inlineStr">
        <is>
          <t>S.M. Md. Tasnim Alam</t>
        </is>
      </c>
      <c r="J450" s="10">
        <f>IF(K450&gt;0, "Completed", "Pending")</f>
        <v/>
      </c>
      <c r="K450" s="10">
        <f>COUNTIF('Survey Responses'!F:F, F450)</f>
        <v/>
      </c>
    </row>
    <row r="451">
      <c r="A451" s="10" t="n">
        <v>450</v>
      </c>
      <c r="B451" s="11" t="inlineStr">
        <is>
          <t>Chattogram-C (GEN-A)</t>
        </is>
      </c>
      <c r="C451" s="11" t="inlineStr">
        <is>
          <t>Mr. Md. Mahasin</t>
        </is>
      </c>
      <c r="D451" s="11" t="inlineStr">
        <is>
          <t>Chattogram GEN-A-6</t>
        </is>
      </c>
      <c r="E451" s="11" t="inlineStr">
        <is>
          <t>Mr. Md. Fazlul Haque</t>
        </is>
      </c>
      <c r="F451" s="10" t="n">
        <v>11113</v>
      </c>
      <c r="G451" s="11" t="inlineStr">
        <is>
          <t>CTG (MAX Hospital)-2</t>
        </is>
      </c>
      <c r="H451" s="10" t="n">
        <v>745</v>
      </c>
      <c r="I451" s="11" t="inlineStr">
        <is>
          <t>Ripon Kumar Das</t>
        </is>
      </c>
      <c r="J451" s="10">
        <f>IF(K451&gt;0, "Completed", "Pending")</f>
        <v/>
      </c>
      <c r="K451" s="10">
        <f>COUNTIF('Survey Responses'!F:F, F451)</f>
        <v/>
      </c>
    </row>
    <row r="452">
      <c r="A452" s="10" t="n">
        <v>451</v>
      </c>
      <c r="B452" s="11" t="inlineStr">
        <is>
          <t>Chattogram-C (GEN-A)</t>
        </is>
      </c>
      <c r="C452" s="11" t="inlineStr">
        <is>
          <t>Mr. Md. Mahasin</t>
        </is>
      </c>
      <c r="D452" s="11" t="inlineStr">
        <is>
          <t>Potiya GEN-A-1</t>
        </is>
      </c>
      <c r="E452" s="11" t="inlineStr">
        <is>
          <t>Md. Majharul Islam</t>
        </is>
      </c>
      <c r="F452" s="10" t="n">
        <v>13636</v>
      </c>
      <c r="G452" s="11" t="inlineStr">
        <is>
          <t>Anowara Road</t>
        </is>
      </c>
      <c r="H452" s="10" t="n">
        <v>5800</v>
      </c>
      <c r="I452" s="11" t="inlineStr">
        <is>
          <t>Mr. Shipon Sarker</t>
        </is>
      </c>
      <c r="J452" s="10">
        <f>IF(K452&gt;0, "Completed", "Pending")</f>
        <v/>
      </c>
      <c r="K452" s="10">
        <f>COUNTIF('Survey Responses'!F:F, F452)</f>
        <v/>
      </c>
    </row>
    <row r="453">
      <c r="A453" s="10" t="n">
        <v>452</v>
      </c>
      <c r="B453" s="11" t="inlineStr">
        <is>
          <t>Chattogram-C (GEN-A)</t>
        </is>
      </c>
      <c r="C453" s="11" t="inlineStr">
        <is>
          <t>Mr. Md. Mahasin</t>
        </is>
      </c>
      <c r="D453" s="11" t="inlineStr">
        <is>
          <t>Potiya GEN-A-1</t>
        </is>
      </c>
      <c r="E453" s="11" t="inlineStr">
        <is>
          <t>Md. Majharul Islam</t>
        </is>
      </c>
      <c r="F453" s="10" t="n">
        <v>11132</v>
      </c>
      <c r="G453" s="11" t="inlineStr">
        <is>
          <t>College Bazar-1</t>
        </is>
      </c>
      <c r="H453" s="10" t="n">
        <v>6902</v>
      </c>
      <c r="I453" s="11" t="inlineStr">
        <is>
          <t>Mr. Md. Tusar Imran</t>
        </is>
      </c>
      <c r="J453" s="10">
        <f>IF(K453&gt;0, "Completed", "Pending")</f>
        <v/>
      </c>
      <c r="K453" s="10">
        <f>COUNTIF('Survey Responses'!F:F, F453)</f>
        <v/>
      </c>
    </row>
    <row r="454">
      <c r="A454" s="10" t="n">
        <v>453</v>
      </c>
      <c r="B454" s="11" t="inlineStr">
        <is>
          <t>Chattogram-C (GEN-A)</t>
        </is>
      </c>
      <c r="C454" s="11" t="inlineStr">
        <is>
          <t>Mr. Md. Mahasin</t>
        </is>
      </c>
      <c r="D454" s="11" t="inlineStr">
        <is>
          <t>Potiya GEN-A-1</t>
        </is>
      </c>
      <c r="E454" s="11" t="inlineStr">
        <is>
          <t>Md. Majharul Islam</t>
        </is>
      </c>
      <c r="F454" s="10" t="n">
        <v>11130</v>
      </c>
      <c r="G454" s="11" t="inlineStr">
        <is>
          <t>Potiya-3</t>
        </is>
      </c>
      <c r="H454" s="10" t="n">
        <v>6957</v>
      </c>
      <c r="I454" s="11" t="inlineStr">
        <is>
          <t>Mr. Nafizur Rahman</t>
        </is>
      </c>
      <c r="J454" s="10">
        <f>IF(K454&gt;0, "Completed", "Pending")</f>
        <v/>
      </c>
      <c r="K454" s="10">
        <f>COUNTIF('Survey Responses'!F:F, F454)</f>
        <v/>
      </c>
    </row>
    <row r="455">
      <c r="A455" s="10" t="n">
        <v>454</v>
      </c>
      <c r="B455" s="11" t="inlineStr">
        <is>
          <t>Chattogram-C (GEN-A)</t>
        </is>
      </c>
      <c r="C455" s="11" t="inlineStr">
        <is>
          <t>Mr. Md. Mahasin</t>
        </is>
      </c>
      <c r="D455" s="11" t="inlineStr">
        <is>
          <t>Potiya GEN-A-1</t>
        </is>
      </c>
      <c r="E455" s="11" t="inlineStr">
        <is>
          <t>Md. Majharul Islam</t>
        </is>
      </c>
      <c r="F455" s="10" t="n">
        <v>12550</v>
      </c>
      <c r="G455" s="11" t="inlineStr">
        <is>
          <t>Potiya-5</t>
        </is>
      </c>
      <c r="H455" s="10" t="n">
        <v>9047</v>
      </c>
      <c r="I455" s="11" t="inlineStr">
        <is>
          <t>Mr. Md. Sumon Islam</t>
        </is>
      </c>
      <c r="J455" s="10">
        <f>IF(K455&gt;0, "Completed", "Pending")</f>
        <v/>
      </c>
      <c r="K455" s="10">
        <f>COUNTIF('Survey Responses'!F:F, F455)</f>
        <v/>
      </c>
    </row>
    <row r="456">
      <c r="A456" s="10" t="n">
        <v>455</v>
      </c>
      <c r="B456" s="11" t="inlineStr">
        <is>
          <t>Chattogram-C (GEN-A)</t>
        </is>
      </c>
      <c r="C456" s="11" t="inlineStr">
        <is>
          <t>Mr. Md. Mahasin</t>
        </is>
      </c>
      <c r="D456" s="11" t="inlineStr">
        <is>
          <t>Potiya GEN-A-1</t>
        </is>
      </c>
      <c r="E456" s="11" t="inlineStr">
        <is>
          <t>Md. Majharul Islam</t>
        </is>
      </c>
      <c r="F456" s="10" t="n">
        <v>13027</v>
      </c>
      <c r="G456" s="11" t="inlineStr">
        <is>
          <t>Potiya-6</t>
        </is>
      </c>
      <c r="H456" s="10" t="n">
        <v>6135</v>
      </c>
      <c r="I456" s="11" t="inlineStr">
        <is>
          <t>Mr. Md. Aminul Islam</t>
        </is>
      </c>
      <c r="J456" s="10">
        <f>IF(K456&gt;0, "Completed", "Pending")</f>
        <v/>
      </c>
      <c r="K456" s="10">
        <f>COUNTIF('Survey Responses'!F:F, F456)</f>
        <v/>
      </c>
    </row>
    <row r="457">
      <c r="A457" s="10" t="n">
        <v>456</v>
      </c>
      <c r="B457" s="11" t="inlineStr">
        <is>
          <t>Chattogram-C (GEN-A)</t>
        </is>
      </c>
      <c r="C457" s="11" t="inlineStr">
        <is>
          <t>Mr. Md. Mahasin</t>
        </is>
      </c>
      <c r="D457" s="11" t="inlineStr">
        <is>
          <t>Potiya GEN-A-1</t>
        </is>
      </c>
      <c r="E457" s="11" t="inlineStr">
        <is>
          <t>Md. Majharul Islam</t>
        </is>
      </c>
      <c r="F457" s="10" t="n">
        <v>14547</v>
      </c>
      <c r="G457" s="11" t="inlineStr">
        <is>
          <t>Potiya-7</t>
        </is>
      </c>
      <c r="H457" s="10" t="n">
        <v>7695</v>
      </c>
      <c r="I457" s="11" t="inlineStr">
        <is>
          <t>Md. Abu Bakkar Siddik Jibon</t>
        </is>
      </c>
      <c r="J457" s="10">
        <f>IF(K457&gt;0, "Completed", "Pending")</f>
        <v/>
      </c>
      <c r="K457" s="10">
        <f>COUNTIF('Survey Responses'!F:F, F457)</f>
        <v/>
      </c>
    </row>
    <row r="458">
      <c r="A458" s="10" t="n">
        <v>457</v>
      </c>
      <c r="B458" s="11" t="inlineStr">
        <is>
          <t>Chattogram-C (GEN-A)</t>
        </is>
      </c>
      <c r="C458" s="11" t="inlineStr">
        <is>
          <t>Mr. Md. Mahasin</t>
        </is>
      </c>
      <c r="D458" s="11" t="inlineStr">
        <is>
          <t>Potiya GEN-A-1</t>
        </is>
      </c>
      <c r="E458" s="11" t="inlineStr">
        <is>
          <t>Md. Majharul Islam</t>
        </is>
      </c>
      <c r="F458" s="10" t="n">
        <v>11133</v>
      </c>
      <c r="G458" s="11" t="inlineStr">
        <is>
          <t>Shantirhat-1</t>
        </is>
      </c>
      <c r="H458" s="10" t="n">
        <v>2883</v>
      </c>
      <c r="I458" s="11" t="inlineStr">
        <is>
          <t>Md. Sagir Uddin Ahmed</t>
        </is>
      </c>
      <c r="J458" s="10">
        <f>IF(K458&gt;0, "Completed", "Pending")</f>
        <v/>
      </c>
      <c r="K458" s="10">
        <f>COUNTIF('Survey Responses'!F:F, F458)</f>
        <v/>
      </c>
    </row>
    <row r="459">
      <c r="A459" s="10" t="n">
        <v>458</v>
      </c>
      <c r="B459" s="11" t="inlineStr">
        <is>
          <t>Chattogram-C (GEN-A)</t>
        </is>
      </c>
      <c r="C459" s="11" t="inlineStr">
        <is>
          <t>Mr. Md. Mahasin</t>
        </is>
      </c>
      <c r="D459" s="11" t="inlineStr">
        <is>
          <t>Potiya GEN-A-1</t>
        </is>
      </c>
      <c r="E459" s="11" t="inlineStr">
        <is>
          <t>Md. Majharul Islam</t>
        </is>
      </c>
      <c r="F459" s="10" t="n">
        <v>12229</v>
      </c>
      <c r="G459" s="11" t="inlineStr">
        <is>
          <t>Shantirhat-2</t>
        </is>
      </c>
      <c r="H459" s="10" t="n">
        <v>3609</v>
      </c>
      <c r="I459" s="11" t="inlineStr">
        <is>
          <t>Mr. J.M Raihan Uddin</t>
        </is>
      </c>
      <c r="J459" s="10">
        <f>IF(K459&gt;0, "Completed", "Pending")</f>
        <v/>
      </c>
      <c r="K459" s="10">
        <f>COUNTIF('Survey Responses'!F:F, F459)</f>
        <v/>
      </c>
    </row>
    <row r="460">
      <c r="A460" s="10" t="n">
        <v>459</v>
      </c>
      <c r="B460" s="11" t="inlineStr">
        <is>
          <t>Chattogram-C (GEN-A)</t>
        </is>
      </c>
      <c r="C460" s="11" t="inlineStr">
        <is>
          <t>Mr. Md. Mahasin</t>
        </is>
      </c>
      <c r="D460" s="11" t="inlineStr">
        <is>
          <t>Potiya GEN-A-2</t>
        </is>
      </c>
      <c r="E460" s="11" t="inlineStr">
        <is>
          <t>Md. Mostafizur Rahman</t>
        </is>
      </c>
      <c r="F460" s="10" t="n">
        <v>11062</v>
      </c>
      <c r="G460" s="11" t="inlineStr">
        <is>
          <t>Chandanaish-1</t>
        </is>
      </c>
      <c r="H460" s="10" t="n">
        <v>1853</v>
      </c>
      <c r="I460" s="11" t="inlineStr">
        <is>
          <t>Md. Mozaffar Hossain</t>
        </is>
      </c>
      <c r="J460" s="10">
        <f>IF(K460&gt;0, "Completed", "Pending")</f>
        <v/>
      </c>
      <c r="K460" s="10">
        <f>COUNTIF('Survey Responses'!F:F, F460)</f>
        <v/>
      </c>
    </row>
    <row r="461">
      <c r="A461" s="10" t="n">
        <v>460</v>
      </c>
      <c r="B461" s="11" t="inlineStr">
        <is>
          <t>Chattogram-C (GEN-A)</t>
        </is>
      </c>
      <c r="C461" s="11" t="inlineStr">
        <is>
          <t>Mr. Md. Mahasin</t>
        </is>
      </c>
      <c r="D461" s="11" t="inlineStr">
        <is>
          <t>Potiya GEN-A-2</t>
        </is>
      </c>
      <c r="E461" s="11" t="inlineStr">
        <is>
          <t>Md. Mostafizur Rahman</t>
        </is>
      </c>
      <c r="F461" s="10" t="n">
        <v>11063</v>
      </c>
      <c r="G461" s="11" t="inlineStr">
        <is>
          <t>Chandanaish-2</t>
        </is>
      </c>
      <c r="H461" s="10" t="n">
        <v>1408</v>
      </c>
      <c r="I461" s="11" t="inlineStr">
        <is>
          <t>Md. Shakhawat Hossen</t>
        </is>
      </c>
      <c r="J461" s="10">
        <f>IF(K461&gt;0, "Completed", "Pending")</f>
        <v/>
      </c>
      <c r="K461" s="10">
        <f>COUNTIF('Survey Responses'!F:F, F461)</f>
        <v/>
      </c>
    </row>
    <row r="462">
      <c r="A462" s="10" t="n">
        <v>461</v>
      </c>
      <c r="B462" s="11" t="inlineStr">
        <is>
          <t>Chattogram-C (GEN-A)</t>
        </is>
      </c>
      <c r="C462" s="11" t="inlineStr">
        <is>
          <t>Mr. Md. Mahasin</t>
        </is>
      </c>
      <c r="D462" s="11" t="inlineStr">
        <is>
          <t>Potiya GEN-A-2</t>
        </is>
      </c>
      <c r="E462" s="11" t="inlineStr">
        <is>
          <t>Md. Mostafizur Rahman</t>
        </is>
      </c>
      <c r="F462" s="10" t="n">
        <v>12681</v>
      </c>
      <c r="G462" s="11" t="inlineStr">
        <is>
          <t>Chandanaish-3</t>
        </is>
      </c>
      <c r="H462" s="10" t="n">
        <v>3605</v>
      </c>
      <c r="I462" s="11" t="inlineStr">
        <is>
          <t>Mr. Md. Shohan Parvez</t>
        </is>
      </c>
      <c r="J462" s="10">
        <f>IF(K462&gt;0, "Completed", "Pending")</f>
        <v/>
      </c>
      <c r="K462" s="10">
        <f>COUNTIF('Survey Responses'!F:F, F462)</f>
        <v/>
      </c>
    </row>
    <row r="463">
      <c r="A463" s="10" t="n">
        <v>462</v>
      </c>
      <c r="B463" s="11" t="inlineStr">
        <is>
          <t>Chattogram-C (GEN-A)</t>
        </is>
      </c>
      <c r="C463" s="11" t="inlineStr">
        <is>
          <t>Mr. Md. Mahasin</t>
        </is>
      </c>
      <c r="D463" s="11" t="inlineStr">
        <is>
          <t>Potiya GEN-A-2</t>
        </is>
      </c>
      <c r="E463" s="11" t="inlineStr">
        <is>
          <t>Md. Mostafizur Rahman</t>
        </is>
      </c>
      <c r="F463" s="10" t="n">
        <v>11064</v>
      </c>
      <c r="G463" s="11" t="inlineStr">
        <is>
          <t>Dohajari-1</t>
        </is>
      </c>
      <c r="H463" s="10" t="n">
        <v>690</v>
      </c>
      <c r="I463" s="11" t="inlineStr">
        <is>
          <t>Md. Tariqul Islam</t>
        </is>
      </c>
      <c r="J463" s="10">
        <f>IF(K463&gt;0, "Completed", "Pending")</f>
        <v/>
      </c>
      <c r="K463" s="10">
        <f>COUNTIF('Survey Responses'!F:F, F463)</f>
        <v/>
      </c>
    </row>
    <row r="464">
      <c r="A464" s="10" t="n">
        <v>463</v>
      </c>
      <c r="B464" s="11" t="inlineStr">
        <is>
          <t>Chattogram-C (GEN-A)</t>
        </is>
      </c>
      <c r="C464" s="11" t="inlineStr">
        <is>
          <t>Mr. Md. Mahasin</t>
        </is>
      </c>
      <c r="D464" s="11" t="inlineStr">
        <is>
          <t>Potiya GEN-A-2</t>
        </is>
      </c>
      <c r="E464" s="11" t="inlineStr">
        <is>
          <t>Md. Mostafizur Rahman</t>
        </is>
      </c>
      <c r="F464" s="10" t="n">
        <v>14536</v>
      </c>
      <c r="G464" s="11" t="inlineStr">
        <is>
          <t>Dohajari-2</t>
        </is>
      </c>
      <c r="H464" s="10" t="n">
        <v>7565</v>
      </c>
      <c r="I464" s="11" t="inlineStr">
        <is>
          <t>Mr. Md. Sozib Rana</t>
        </is>
      </c>
      <c r="J464" s="10">
        <f>IF(K464&gt;0, "Completed", "Pending")</f>
        <v/>
      </c>
      <c r="K464" s="10">
        <f>COUNTIF('Survey Responses'!F:F, F464)</f>
        <v/>
      </c>
    </row>
    <row r="465">
      <c r="A465" s="10" t="n">
        <v>464</v>
      </c>
      <c r="B465" s="11" t="inlineStr">
        <is>
          <t>Chattogram-C (GEN-A)</t>
        </is>
      </c>
      <c r="C465" s="11" t="inlineStr">
        <is>
          <t>Mr. Md. Mahasin</t>
        </is>
      </c>
      <c r="D465" s="11" t="inlineStr">
        <is>
          <t>Potiya GEN-A-2</t>
        </is>
      </c>
      <c r="E465" s="11" t="inlineStr">
        <is>
          <t>Md. Mostafizur Rahman</t>
        </is>
      </c>
      <c r="F465" s="10" t="n">
        <v>11131</v>
      </c>
      <c r="G465" s="11" t="inlineStr">
        <is>
          <t>Potiya-1</t>
        </is>
      </c>
      <c r="H465" s="10" t="n">
        <v>6817</v>
      </c>
      <c r="I465" s="11" t="inlineStr">
        <is>
          <t>Mr. Ramesh Sutradhar</t>
        </is>
      </c>
      <c r="J465" s="10">
        <f>IF(K465&gt;0, "Completed", "Pending")</f>
        <v/>
      </c>
      <c r="K465" s="10">
        <f>COUNTIF('Survey Responses'!F:F, F465)</f>
        <v/>
      </c>
    </row>
    <row r="466">
      <c r="A466" s="10" t="n">
        <v>465</v>
      </c>
      <c r="B466" s="11" t="inlineStr">
        <is>
          <t>Chattogram-C (GEN-A)</t>
        </is>
      </c>
      <c r="C466" s="11" t="inlineStr">
        <is>
          <t>Mr. Md. Mahasin</t>
        </is>
      </c>
      <c r="D466" s="11" t="inlineStr">
        <is>
          <t>Potiya GEN-A-2</t>
        </is>
      </c>
      <c r="E466" s="11" t="inlineStr">
        <is>
          <t>Md. Mostafizur Rahman</t>
        </is>
      </c>
      <c r="F466" s="10" t="n">
        <v>11128</v>
      </c>
      <c r="G466" s="11" t="inlineStr">
        <is>
          <t>Potiya-2</t>
        </is>
      </c>
      <c r="H466" s="10" t="n">
        <v>8833</v>
      </c>
      <c r="I466" s="11" t="inlineStr">
        <is>
          <t>Mr. Md. Kawsar Ali</t>
        </is>
      </c>
      <c r="J466" s="10">
        <f>IF(K466&gt;0, "Completed", "Pending")</f>
        <v/>
      </c>
      <c r="K466" s="10">
        <f>COUNTIF('Survey Responses'!F:F, F466)</f>
        <v/>
      </c>
    </row>
    <row r="467">
      <c r="A467" s="10" t="n">
        <v>466</v>
      </c>
      <c r="B467" s="11" t="inlineStr">
        <is>
          <t>Chattogram-C (GEN-A)</t>
        </is>
      </c>
      <c r="C467" s="11" t="inlineStr">
        <is>
          <t>Mr. Md. Mahasin</t>
        </is>
      </c>
      <c r="D467" s="11" t="inlineStr">
        <is>
          <t>Potiya GEN-A-2</t>
        </is>
      </c>
      <c r="E467" s="11" t="inlineStr">
        <is>
          <t>Md. Mostafizur Rahman</t>
        </is>
      </c>
      <c r="F467" s="10" t="n">
        <v>11129</v>
      </c>
      <c r="G467" s="11" t="inlineStr">
        <is>
          <t>Potiya-4</t>
        </is>
      </c>
      <c r="H467" s="10" t="n">
        <v>1393</v>
      </c>
      <c r="I467" s="11" t="inlineStr">
        <is>
          <t>Md. Safirul Haque</t>
        </is>
      </c>
      <c r="J467" s="10">
        <f>IF(K467&gt;0, "Completed", "Pending")</f>
        <v/>
      </c>
      <c r="K467" s="10">
        <f>COUNTIF('Survey Responses'!F:F, F467)</f>
        <v/>
      </c>
    </row>
    <row r="468">
      <c r="A468" s="10" t="n">
        <v>467</v>
      </c>
      <c r="B468" s="11" t="inlineStr">
        <is>
          <t>Chattogram-D (GEN-A)</t>
        </is>
      </c>
      <c r="C468" s="11" t="inlineStr">
        <is>
          <t>Mr. Md. Rafiqul Islam</t>
        </is>
      </c>
      <c r="D468" s="11" t="inlineStr">
        <is>
          <t>Boalkhali GEN-A-1</t>
        </is>
      </c>
      <c r="E468" s="11" t="inlineStr">
        <is>
          <t>Mr. Md. Rezaul Hoque</t>
        </is>
      </c>
      <c r="F468" s="10" t="n">
        <v>11107</v>
      </c>
      <c r="G468" s="11" t="inlineStr">
        <is>
          <t>Boalkhali-1</t>
        </is>
      </c>
      <c r="H468" s="10" t="n">
        <v>5694</v>
      </c>
      <c r="I468" s="11" t="inlineStr">
        <is>
          <t>Mr. Md. Mahabubur Rahman</t>
        </is>
      </c>
      <c r="J468" s="10">
        <f>IF(K468&gt;0, "Completed", "Pending")</f>
        <v/>
      </c>
      <c r="K468" s="10">
        <f>COUNTIF('Survey Responses'!F:F, F468)</f>
        <v/>
      </c>
    </row>
    <row r="469">
      <c r="A469" s="10" t="n">
        <v>468</v>
      </c>
      <c r="B469" s="11" t="inlineStr">
        <is>
          <t>Chattogram-D (GEN-A)</t>
        </is>
      </c>
      <c r="C469" s="11" t="inlineStr">
        <is>
          <t>Mr. Md. Rafiqul Islam</t>
        </is>
      </c>
      <c r="D469" s="11" t="inlineStr">
        <is>
          <t>Boalkhali GEN-A-1</t>
        </is>
      </c>
      <c r="E469" s="11" t="inlineStr">
        <is>
          <t>Mr. Md. Rezaul Hoque</t>
        </is>
      </c>
      <c r="F469" s="10" t="n">
        <v>11106</v>
      </c>
      <c r="G469" s="11" t="inlineStr">
        <is>
          <t>Boalkhali-2</t>
        </is>
      </c>
      <c r="H469" s="10" t="n">
        <v>3595</v>
      </c>
      <c r="I469" s="11" t="inlineStr">
        <is>
          <t>Mr. Md. Joynul Abedin</t>
        </is>
      </c>
      <c r="J469" s="10">
        <f>IF(K469&gt;0, "Completed", "Pending")</f>
        <v/>
      </c>
      <c r="K469" s="10">
        <f>COUNTIF('Survey Responses'!F:F, F469)</f>
        <v/>
      </c>
    </row>
    <row r="470">
      <c r="A470" s="10" t="n">
        <v>469</v>
      </c>
      <c r="B470" s="11" t="inlineStr">
        <is>
          <t>Chattogram-D (GEN-A)</t>
        </is>
      </c>
      <c r="C470" s="11" t="inlineStr">
        <is>
          <t>Mr. Md. Rafiqul Islam</t>
        </is>
      </c>
      <c r="D470" s="11" t="inlineStr">
        <is>
          <t>Boalkhali GEN-A-1</t>
        </is>
      </c>
      <c r="E470" s="11" t="inlineStr">
        <is>
          <t>Mr. Md. Rezaul Hoque</t>
        </is>
      </c>
      <c r="F470" s="10" t="n">
        <v>12345</v>
      </c>
      <c r="G470" s="11" t="inlineStr">
        <is>
          <t>Boalkhali-3</t>
        </is>
      </c>
      <c r="H470" s="10" t="n">
        <v>3716</v>
      </c>
      <c r="I470" s="11" t="inlineStr">
        <is>
          <t>Mr. Md. Shah Alom Sarker</t>
        </is>
      </c>
      <c r="J470" s="10">
        <f>IF(K470&gt;0, "Completed", "Pending")</f>
        <v/>
      </c>
      <c r="K470" s="10">
        <f>COUNTIF('Survey Responses'!F:F, F470)</f>
        <v/>
      </c>
    </row>
    <row r="471">
      <c r="A471" s="10" t="n">
        <v>470</v>
      </c>
      <c r="B471" s="11" t="inlineStr">
        <is>
          <t>Chattogram-D (GEN-A)</t>
        </is>
      </c>
      <c r="C471" s="11" t="inlineStr">
        <is>
          <t>Mr. Md. Rafiqul Islam</t>
        </is>
      </c>
      <c r="D471" s="11" t="inlineStr">
        <is>
          <t>Boalkhali GEN-A-1</t>
        </is>
      </c>
      <c r="E471" s="11" t="inlineStr">
        <is>
          <t>Mr. Md. Rezaul Hoque</t>
        </is>
      </c>
      <c r="F471" s="10" t="n">
        <v>13059</v>
      </c>
      <c r="G471" s="11" t="inlineStr">
        <is>
          <t>Boalkhali-4</t>
        </is>
      </c>
      <c r="H471" s="10" t="n">
        <v>5971</v>
      </c>
      <c r="I471" s="11" t="inlineStr">
        <is>
          <t>Md. Ebrahim Hossain</t>
        </is>
      </c>
      <c r="J471" s="10">
        <f>IF(K471&gt;0, "Completed", "Pending")</f>
        <v/>
      </c>
      <c r="K471" s="10">
        <f>COUNTIF('Survey Responses'!F:F, F471)</f>
        <v/>
      </c>
    </row>
    <row r="472">
      <c r="A472" s="10" t="n">
        <v>471</v>
      </c>
      <c r="B472" s="11" t="inlineStr">
        <is>
          <t>Chattogram-D (GEN-A)</t>
        </is>
      </c>
      <c r="C472" s="11" t="inlineStr">
        <is>
          <t>Mr. Md. Rafiqul Islam</t>
        </is>
      </c>
      <c r="D472" s="11" t="inlineStr">
        <is>
          <t>Boalkhali GEN-A-1</t>
        </is>
      </c>
      <c r="E472" s="11" t="inlineStr">
        <is>
          <t>Mr. Md. Rezaul Hoque</t>
        </is>
      </c>
      <c r="F472" s="10" t="n">
        <v>14853</v>
      </c>
      <c r="G472" s="11" t="inlineStr">
        <is>
          <t>Boalkhali-5</t>
        </is>
      </c>
      <c r="H472" s="10" t="n">
        <v>8969</v>
      </c>
      <c r="I472" s="11" t="inlineStr">
        <is>
          <t>Mr. Md. Ohidul Islam</t>
        </is>
      </c>
      <c r="J472" s="10">
        <f>IF(K472&gt;0, "Completed", "Pending")</f>
        <v/>
      </c>
      <c r="K472" s="10">
        <f>COUNTIF('Survey Responses'!F:F, F472)</f>
        <v/>
      </c>
    </row>
    <row r="473">
      <c r="A473" s="10" t="n">
        <v>472</v>
      </c>
      <c r="B473" s="11" t="inlineStr">
        <is>
          <t>Chattogram-D (GEN-A)</t>
        </is>
      </c>
      <c r="C473" s="11" t="inlineStr">
        <is>
          <t>Mr. Md. Rafiqul Islam</t>
        </is>
      </c>
      <c r="D473" s="11" t="inlineStr">
        <is>
          <t>Boalkhali GEN-A-1</t>
        </is>
      </c>
      <c r="E473" s="11" t="inlineStr">
        <is>
          <t>Mr. Md. Rezaul Hoque</t>
        </is>
      </c>
      <c r="F473" s="10" t="n">
        <v>11110</v>
      </c>
      <c r="G473" s="11" t="inlineStr">
        <is>
          <t>CTG (Kalurghat)-1</t>
        </is>
      </c>
      <c r="H473" s="10" t="n">
        <v>4039</v>
      </c>
      <c r="I473" s="11" t="inlineStr">
        <is>
          <t>Md. Kamal Hossain</t>
        </is>
      </c>
      <c r="J473" s="10">
        <f>IF(K473&gt;0, "Completed", "Pending")</f>
        <v/>
      </c>
      <c r="K473" s="10">
        <f>COUNTIF('Survey Responses'!F:F, F473)</f>
        <v/>
      </c>
    </row>
    <row r="474">
      <c r="A474" s="10" t="n">
        <v>473</v>
      </c>
      <c r="B474" s="11" t="inlineStr">
        <is>
          <t>Chattogram-D (GEN-A)</t>
        </is>
      </c>
      <c r="C474" s="11" t="inlineStr">
        <is>
          <t>Mr. Md. Rafiqul Islam</t>
        </is>
      </c>
      <c r="D474" s="11" t="inlineStr">
        <is>
          <t>Boalkhali GEN-A-1</t>
        </is>
      </c>
      <c r="E474" s="11" t="inlineStr">
        <is>
          <t>Mr. Md. Rezaul Hoque</t>
        </is>
      </c>
      <c r="F474" s="10" t="n">
        <v>12551</v>
      </c>
      <c r="G474" s="11" t="inlineStr">
        <is>
          <t>CTG (Kalurghat)-2</t>
        </is>
      </c>
      <c r="H474" s="10" t="n">
        <v>5618</v>
      </c>
      <c r="I474" s="11" t="inlineStr">
        <is>
          <t>Mr. Md. Azizul Haque</t>
        </is>
      </c>
      <c r="J474" s="10">
        <f>IF(K474&gt;0, "Completed", "Pending")</f>
        <v/>
      </c>
      <c r="K474" s="10">
        <f>COUNTIF('Survey Responses'!F:F, F474)</f>
        <v/>
      </c>
    </row>
    <row r="475">
      <c r="A475" s="10" t="n">
        <v>474</v>
      </c>
      <c r="B475" s="11" t="inlineStr">
        <is>
          <t>Chattogram-D (GEN-A)</t>
        </is>
      </c>
      <c r="C475" s="11" t="inlineStr">
        <is>
          <t>Mr. Md. Rafiqul Islam</t>
        </is>
      </c>
      <c r="D475" s="11" t="inlineStr">
        <is>
          <t>Boalkhali GEN-A-1</t>
        </is>
      </c>
      <c r="E475" s="11" t="inlineStr">
        <is>
          <t>Mr. Md. Rezaul Hoque</t>
        </is>
      </c>
      <c r="F475" s="10" t="n">
        <v>13178</v>
      </c>
      <c r="G475" s="11" t="inlineStr">
        <is>
          <t>CTG (Rashtarmatha)</t>
        </is>
      </c>
      <c r="H475" s="10" t="n">
        <v>5802</v>
      </c>
      <c r="I475" s="11" t="inlineStr">
        <is>
          <t>Mr. Md. Helal Mahmud</t>
        </is>
      </c>
      <c r="J475" s="10">
        <f>IF(K475&gt;0, "Completed", "Pending")</f>
        <v/>
      </c>
      <c r="K475" s="10">
        <f>COUNTIF('Survey Responses'!F:F, F475)</f>
        <v/>
      </c>
    </row>
    <row r="476">
      <c r="A476" s="10" t="n">
        <v>475</v>
      </c>
      <c r="B476" s="11" t="inlineStr">
        <is>
          <t>Chattogram-D (GEN-A)</t>
        </is>
      </c>
      <c r="C476" s="11" t="inlineStr">
        <is>
          <t>Mr. Md. Rafiqul Islam</t>
        </is>
      </c>
      <c r="D476" s="11" t="inlineStr">
        <is>
          <t>Chattogram GEN-A-11</t>
        </is>
      </c>
      <c r="E476" s="11" t="inlineStr">
        <is>
          <t>Md. Zahangir Alam</t>
        </is>
      </c>
      <c r="F476" s="10" t="n">
        <v>12549</v>
      </c>
      <c r="G476" s="11" t="inlineStr">
        <is>
          <t>CTG (CMCH-3)</t>
        </is>
      </c>
      <c r="H476" s="10" t="n">
        <v>5989</v>
      </c>
      <c r="I476" s="11" t="inlineStr">
        <is>
          <t>Mr.  Zakaria Hossain</t>
        </is>
      </c>
      <c r="J476" s="10">
        <f>IF(K476&gt;0, "Completed", "Pending")</f>
        <v/>
      </c>
      <c r="K476" s="10">
        <f>COUNTIF('Survey Responses'!F:F, F476)</f>
        <v/>
      </c>
    </row>
    <row r="477">
      <c r="A477" s="10" t="n">
        <v>476</v>
      </c>
      <c r="B477" s="11" t="inlineStr">
        <is>
          <t>Chattogram-D (GEN-A)</t>
        </is>
      </c>
      <c r="C477" s="11" t="inlineStr">
        <is>
          <t>Mr. Md. Rafiqul Islam</t>
        </is>
      </c>
      <c r="D477" s="11" t="inlineStr">
        <is>
          <t>Chattogram GEN-A-11</t>
        </is>
      </c>
      <c r="E477" s="11" t="inlineStr">
        <is>
          <t>Md. Zahangir Alam</t>
        </is>
      </c>
      <c r="F477" s="10" t="n">
        <v>14641</v>
      </c>
      <c r="G477" s="11" t="inlineStr">
        <is>
          <t>CTG (Ibn Sina)-1</t>
        </is>
      </c>
      <c r="H477" s="10" t="n">
        <v>8403</v>
      </c>
      <c r="I477" s="11" t="inlineStr">
        <is>
          <t>Mr. Md. Ariful Islam</t>
        </is>
      </c>
      <c r="J477" s="10">
        <f>IF(K477&gt;0, "Completed", "Pending")</f>
        <v/>
      </c>
      <c r="K477" s="10">
        <f>COUNTIF('Survey Responses'!F:F, F477)</f>
        <v/>
      </c>
    </row>
    <row r="478">
      <c r="A478" s="10" t="n">
        <v>477</v>
      </c>
      <c r="B478" s="11" t="inlineStr">
        <is>
          <t>Chattogram-D (GEN-A)</t>
        </is>
      </c>
      <c r="C478" s="11" t="inlineStr">
        <is>
          <t>Mr. Md. Rafiqul Islam</t>
        </is>
      </c>
      <c r="D478" s="11" t="inlineStr">
        <is>
          <t>Chattogram GEN-A-11</t>
        </is>
      </c>
      <c r="E478" s="11" t="inlineStr">
        <is>
          <t>Md. Zahangir Alam</t>
        </is>
      </c>
      <c r="F478" s="10" t="n">
        <v>11112</v>
      </c>
      <c r="G478" s="11" t="inlineStr">
        <is>
          <t>CTG (Lancet)</t>
        </is>
      </c>
      <c r="H478" s="10" t="n">
        <v>7035</v>
      </c>
      <c r="I478" s="11" t="inlineStr">
        <is>
          <t>Mr. Md. Shamim Reza</t>
        </is>
      </c>
      <c r="J478" s="10">
        <f>IF(K478&gt;0, "Completed", "Pending")</f>
        <v/>
      </c>
      <c r="K478" s="10">
        <f>COUNTIF('Survey Responses'!F:F, F478)</f>
        <v/>
      </c>
    </row>
    <row r="479">
      <c r="A479" s="10" t="n">
        <v>478</v>
      </c>
      <c r="B479" s="11" t="inlineStr">
        <is>
          <t>Chattogram-D (GEN-A)</t>
        </is>
      </c>
      <c r="C479" s="11" t="inlineStr">
        <is>
          <t>Mr. Md. Rafiqul Islam</t>
        </is>
      </c>
      <c r="D479" s="11" t="inlineStr">
        <is>
          <t>Chattogram GEN-A-11</t>
        </is>
      </c>
      <c r="E479" s="11" t="inlineStr">
        <is>
          <t>Md. Zahangir Alam</t>
        </is>
      </c>
      <c r="F479" s="10" t="n">
        <v>11009</v>
      </c>
      <c r="G479" s="11" t="inlineStr">
        <is>
          <t>CTG (Life Care)</t>
        </is>
      </c>
      <c r="H479" s="10" t="n">
        <v>3732</v>
      </c>
      <c r="I479" s="11" t="inlineStr">
        <is>
          <t>Mr. Md. Mozahidul Islam</t>
        </is>
      </c>
      <c r="J479" s="10">
        <f>IF(K479&gt;0, "Completed", "Pending")</f>
        <v/>
      </c>
      <c r="K479" s="10">
        <f>COUNTIF('Survey Responses'!F:F, F479)</f>
        <v/>
      </c>
    </row>
    <row r="480">
      <c r="A480" s="10" t="n">
        <v>479</v>
      </c>
      <c r="B480" s="11" t="inlineStr">
        <is>
          <t>Chattogram-D (GEN-A)</t>
        </is>
      </c>
      <c r="C480" s="11" t="inlineStr">
        <is>
          <t>Mr. Md. Rafiqul Islam</t>
        </is>
      </c>
      <c r="D480" s="11" t="inlineStr">
        <is>
          <t>Chattogram GEN-A-11</t>
        </is>
      </c>
      <c r="E480" s="11" t="inlineStr">
        <is>
          <t>Md. Zahangir Alam</t>
        </is>
      </c>
      <c r="F480" s="10" t="n">
        <v>11116</v>
      </c>
      <c r="G480" s="11" t="inlineStr">
        <is>
          <t>CTG (Peoples Hosp.)</t>
        </is>
      </c>
      <c r="H480" s="10" t="n">
        <v>6956</v>
      </c>
      <c r="I480" s="11" t="inlineStr">
        <is>
          <t>Mr. Ashifur Rahman</t>
        </is>
      </c>
      <c r="J480" s="10">
        <f>IF(K480&gt;0, "Completed", "Pending")</f>
        <v/>
      </c>
      <c r="K480" s="10">
        <f>COUNTIF('Survey Responses'!F:F, F480)</f>
        <v/>
      </c>
    </row>
    <row r="481">
      <c r="A481" s="10" t="n">
        <v>480</v>
      </c>
      <c r="B481" s="11" t="inlineStr">
        <is>
          <t>Chattogram-D (GEN-A)</t>
        </is>
      </c>
      <c r="C481" s="11" t="inlineStr">
        <is>
          <t>Mr. Md. Rafiqul Islam</t>
        </is>
      </c>
      <c r="D481" s="11" t="inlineStr">
        <is>
          <t>Chattogram GEN-A-11</t>
        </is>
      </c>
      <c r="E481" s="11" t="inlineStr">
        <is>
          <t>Md. Zahangir Alam</t>
        </is>
      </c>
      <c r="F481" s="10" t="n">
        <v>11004</v>
      </c>
      <c r="G481" s="11" t="inlineStr">
        <is>
          <t>CTG (Popular)-1</t>
        </is>
      </c>
      <c r="H481" s="10" t="n">
        <v>9081</v>
      </c>
      <c r="I481" s="11" t="inlineStr">
        <is>
          <t>Mr. Md. Bin Yeamin</t>
        </is>
      </c>
      <c r="J481" s="10">
        <f>IF(K481&gt;0, "Completed", "Pending")</f>
        <v/>
      </c>
      <c r="K481" s="10">
        <f>COUNTIF('Survey Responses'!F:F, F481)</f>
        <v/>
      </c>
    </row>
    <row r="482">
      <c r="A482" s="10" t="n">
        <v>481</v>
      </c>
      <c r="B482" s="11" t="inlineStr">
        <is>
          <t>Chattogram-D (GEN-A)</t>
        </is>
      </c>
      <c r="C482" s="11" t="inlineStr">
        <is>
          <t>Mr. Md. Rafiqul Islam</t>
        </is>
      </c>
      <c r="D482" s="11" t="inlineStr">
        <is>
          <t>Chattogram GEN-A-11</t>
        </is>
      </c>
      <c r="E482" s="11" t="inlineStr">
        <is>
          <t>Md. Zahangir Alam</t>
        </is>
      </c>
      <c r="F482" s="10" t="n">
        <v>11010</v>
      </c>
      <c r="G482" s="11" t="inlineStr">
        <is>
          <t>CTG (Popular)-2</t>
        </is>
      </c>
      <c r="H482" s="10" t="n">
        <v>1440</v>
      </c>
      <c r="I482" s="11" t="inlineStr">
        <is>
          <t>Md. Rokibul Islam</t>
        </is>
      </c>
      <c r="J482" s="10">
        <f>IF(K482&gt;0, "Completed", "Pending")</f>
        <v/>
      </c>
      <c r="K482" s="10">
        <f>COUNTIF('Survey Responses'!F:F, F482)</f>
        <v/>
      </c>
    </row>
    <row r="483">
      <c r="A483" s="10" t="n">
        <v>482</v>
      </c>
      <c r="B483" s="11" t="inlineStr">
        <is>
          <t>Chattogram-D (GEN-A)</t>
        </is>
      </c>
      <c r="C483" s="11" t="inlineStr">
        <is>
          <t>Mr. Md. Rafiqul Islam</t>
        </is>
      </c>
      <c r="D483" s="11" t="inlineStr">
        <is>
          <t>Chattogram GEN-A-11</t>
        </is>
      </c>
      <c r="E483" s="11" t="inlineStr">
        <is>
          <t>Md. Zahangir Alam</t>
        </is>
      </c>
      <c r="F483" s="10" t="n">
        <v>13175</v>
      </c>
      <c r="G483" s="11" t="inlineStr">
        <is>
          <t>CTG (Popular)-3</t>
        </is>
      </c>
      <c r="H483" s="10" t="n">
        <v>6380</v>
      </c>
      <c r="I483" s="11" t="inlineStr">
        <is>
          <t>Mr. Md. Moniruzzaman</t>
        </is>
      </c>
      <c r="J483" s="10">
        <f>IF(K483&gt;0, "Completed", "Pending")</f>
        <v/>
      </c>
      <c r="K483" s="10">
        <f>COUNTIF('Survey Responses'!F:F, F483)</f>
        <v/>
      </c>
    </row>
    <row r="484">
      <c r="A484" s="10" t="n">
        <v>483</v>
      </c>
      <c r="B484" s="11" t="inlineStr">
        <is>
          <t>Chattogram-D (GEN-A)</t>
        </is>
      </c>
      <c r="C484" s="11" t="inlineStr">
        <is>
          <t>Mr. Md. Rafiqul Islam</t>
        </is>
      </c>
      <c r="D484" s="11" t="inlineStr">
        <is>
          <t>Chattogram GEN-A-2</t>
        </is>
      </c>
      <c r="E484" s="11" t="inlineStr">
        <is>
          <t>Md. Mahabubur Rahman</t>
        </is>
      </c>
      <c r="F484" s="10" t="n">
        <v>11117</v>
      </c>
      <c r="G484" s="11" t="inlineStr">
        <is>
          <t>CTG (Chawk Bazar)-1</t>
        </is>
      </c>
      <c r="H484" s="10" t="n">
        <v>2107</v>
      </c>
      <c r="I484" s="11" t="inlineStr">
        <is>
          <t>Md. Rokibour Rahman</t>
        </is>
      </c>
      <c r="J484" s="10">
        <f>IF(K484&gt;0, "Completed", "Pending")</f>
        <v/>
      </c>
      <c r="K484" s="10">
        <f>COUNTIF('Survey Responses'!F:F, F484)</f>
        <v/>
      </c>
    </row>
    <row r="485">
      <c r="A485" s="10" t="n">
        <v>484</v>
      </c>
      <c r="B485" s="11" t="inlineStr">
        <is>
          <t>Chattogram-D (GEN-A)</t>
        </is>
      </c>
      <c r="C485" s="11" t="inlineStr">
        <is>
          <t>Mr. Md. Rafiqul Islam</t>
        </is>
      </c>
      <c r="D485" s="11" t="inlineStr">
        <is>
          <t>Chattogram GEN-A-2</t>
        </is>
      </c>
      <c r="E485" s="11" t="inlineStr">
        <is>
          <t>Md. Mahabubur Rahman</t>
        </is>
      </c>
      <c r="F485" s="10" t="n">
        <v>11039</v>
      </c>
      <c r="G485" s="11" t="inlineStr">
        <is>
          <t>CTG (Delta Hospital)</t>
        </is>
      </c>
      <c r="H485" s="10" t="n">
        <v>5988</v>
      </c>
      <c r="I485" s="11" t="inlineStr">
        <is>
          <t>Mr.  Md. Younus Hossain Rubel</t>
        </is>
      </c>
      <c r="J485" s="10">
        <f>IF(K485&gt;0, "Completed", "Pending")</f>
        <v/>
      </c>
      <c r="K485" s="10">
        <f>COUNTIF('Survey Responses'!F:F, F485)</f>
        <v/>
      </c>
    </row>
    <row r="486">
      <c r="A486" s="10" t="n">
        <v>485</v>
      </c>
      <c r="B486" s="11" t="inlineStr">
        <is>
          <t>Chattogram-D (GEN-A)</t>
        </is>
      </c>
      <c r="C486" s="11" t="inlineStr">
        <is>
          <t>Mr. Md. Rafiqul Islam</t>
        </is>
      </c>
      <c r="D486" s="11" t="inlineStr">
        <is>
          <t>Chattogram GEN-A-2</t>
        </is>
      </c>
      <c r="E486" s="11" t="inlineStr">
        <is>
          <t>Md. Mahabubur Rahman</t>
        </is>
      </c>
      <c r="F486" s="10" t="n">
        <v>13634</v>
      </c>
      <c r="G486" s="11" t="inlineStr">
        <is>
          <t>CTG (Dewan Bazar)</t>
        </is>
      </c>
      <c r="H486" s="10" t="n">
        <v>9082</v>
      </c>
      <c r="I486" s="11" t="inlineStr">
        <is>
          <t>Mr. Md. Mahfuzur Rahman</t>
        </is>
      </c>
      <c r="J486" s="10">
        <f>IF(K486&gt;0, "Completed", "Pending")</f>
        <v/>
      </c>
      <c r="K486" s="10">
        <f>COUNTIF('Survey Responses'!F:F, F486)</f>
        <v/>
      </c>
    </row>
    <row r="487">
      <c r="A487" s="10" t="n">
        <v>486</v>
      </c>
      <c r="B487" s="11" t="inlineStr">
        <is>
          <t>Chattogram-D (GEN-A)</t>
        </is>
      </c>
      <c r="C487" s="11" t="inlineStr">
        <is>
          <t>Mr. Md. Rafiqul Islam</t>
        </is>
      </c>
      <c r="D487" s="11" t="inlineStr">
        <is>
          <t>Chattogram GEN-A-2</t>
        </is>
      </c>
      <c r="E487" s="11" t="inlineStr">
        <is>
          <t>Md. Mahabubur Rahman</t>
        </is>
      </c>
      <c r="F487" s="10" t="n">
        <v>12062</v>
      </c>
      <c r="G487" s="11" t="inlineStr">
        <is>
          <t>CTG (Park View)-1</t>
        </is>
      </c>
      <c r="H487" s="10" t="n">
        <v>1621</v>
      </c>
      <c r="I487" s="11" t="inlineStr">
        <is>
          <t>Md. Zillur Rahman</t>
        </is>
      </c>
      <c r="J487" s="10">
        <f>IF(K487&gt;0, "Completed", "Pending")</f>
        <v/>
      </c>
      <c r="K487" s="10">
        <f>COUNTIF('Survey Responses'!F:F, F487)</f>
        <v/>
      </c>
    </row>
    <row r="488">
      <c r="A488" s="10" t="n">
        <v>487</v>
      </c>
      <c r="B488" s="11" t="inlineStr">
        <is>
          <t>Chattogram-D (GEN-A)</t>
        </is>
      </c>
      <c r="C488" s="11" t="inlineStr">
        <is>
          <t>Mr. Md. Rafiqul Islam</t>
        </is>
      </c>
      <c r="D488" s="11" t="inlineStr">
        <is>
          <t>Chattogram GEN-A-2</t>
        </is>
      </c>
      <c r="E488" s="11" t="inlineStr">
        <is>
          <t>Md. Mahabubur Rahman</t>
        </is>
      </c>
      <c r="F488" s="10" t="n">
        <v>12581</v>
      </c>
      <c r="G488" s="11" t="inlineStr">
        <is>
          <t>CTG (Park View)-2</t>
        </is>
      </c>
      <c r="H488" s="10" t="n">
        <v>2025</v>
      </c>
      <c r="I488" s="11" t="inlineStr">
        <is>
          <t>Md. Shybur Rahman</t>
        </is>
      </c>
      <c r="J488" s="10">
        <f>IF(K488&gt;0, "Completed", "Pending")</f>
        <v/>
      </c>
      <c r="K488" s="10">
        <f>COUNTIF('Survey Responses'!F:F, F488)</f>
        <v/>
      </c>
    </row>
    <row r="489">
      <c r="A489" s="10" t="n">
        <v>488</v>
      </c>
      <c r="B489" s="11" t="inlineStr">
        <is>
          <t>Chattogram-D (GEN-A)</t>
        </is>
      </c>
      <c r="C489" s="11" t="inlineStr">
        <is>
          <t>Mr. Md. Rafiqul Islam</t>
        </is>
      </c>
      <c r="D489" s="11" t="inlineStr">
        <is>
          <t>Chattogram GEN-A-2</t>
        </is>
      </c>
      <c r="E489" s="11" t="inlineStr">
        <is>
          <t>Md. Mahabubur Rahman</t>
        </is>
      </c>
      <c r="F489" s="10" t="n">
        <v>13236</v>
      </c>
      <c r="G489" s="11" t="inlineStr">
        <is>
          <t>CTG (Park View)-3</t>
        </is>
      </c>
      <c r="H489" s="10" t="n">
        <v>5868</v>
      </c>
      <c r="I489" s="11" t="inlineStr">
        <is>
          <t>Mr. Abdullah Md. Maruf</t>
        </is>
      </c>
      <c r="J489" s="10">
        <f>IF(K489&gt;0, "Completed", "Pending")</f>
        <v/>
      </c>
      <c r="K489" s="10">
        <f>COUNTIF('Survey Responses'!F:F, F489)</f>
        <v/>
      </c>
    </row>
    <row r="490">
      <c r="A490" s="10" t="n">
        <v>489</v>
      </c>
      <c r="B490" s="11" t="inlineStr">
        <is>
          <t>Chattogram-D (GEN-A)</t>
        </is>
      </c>
      <c r="C490" s="11" t="inlineStr">
        <is>
          <t>Mr. Md. Rafiqul Islam</t>
        </is>
      </c>
      <c r="D490" s="11" t="inlineStr">
        <is>
          <t>Chattogram GEN-A-2</t>
        </is>
      </c>
      <c r="E490" s="11" t="inlineStr">
        <is>
          <t>Md. Mahabubur Rahman</t>
        </is>
      </c>
      <c r="F490" s="10" t="n">
        <v>11123</v>
      </c>
      <c r="G490" s="11" t="inlineStr">
        <is>
          <t>CTG (Red Crescent)</t>
        </is>
      </c>
      <c r="H490" s="10" t="n">
        <v>5612</v>
      </c>
      <c r="I490" s="11" t="inlineStr">
        <is>
          <t>Mr. Md. Jaman Mia</t>
        </is>
      </c>
      <c r="J490" s="10">
        <f>IF(K490&gt;0, "Completed", "Pending")</f>
        <v/>
      </c>
      <c r="K490" s="10">
        <f>COUNTIF('Survey Responses'!F:F, F490)</f>
        <v/>
      </c>
    </row>
    <row r="491">
      <c r="A491" s="10" t="n">
        <v>490</v>
      </c>
      <c r="B491" s="11" t="inlineStr">
        <is>
          <t>Chattogram-D (GEN-A)</t>
        </is>
      </c>
      <c r="C491" s="11" t="inlineStr">
        <is>
          <t>Mr. Md. Rafiqul Islam</t>
        </is>
      </c>
      <c r="D491" s="11" t="inlineStr">
        <is>
          <t>Chattogram GEN-A-2</t>
        </is>
      </c>
      <c r="E491" s="11" t="inlineStr">
        <is>
          <t>Md. Mahabubur Rahman</t>
        </is>
      </c>
      <c r="F491" s="10" t="n">
        <v>11008</v>
      </c>
      <c r="G491" s="11" t="inlineStr">
        <is>
          <t>CTG (Surgiscope)</t>
        </is>
      </c>
      <c r="H491" s="10" t="n">
        <v>6049</v>
      </c>
      <c r="I491" s="11" t="inlineStr">
        <is>
          <t>Md. Nasim Uddin</t>
        </is>
      </c>
      <c r="J491" s="10">
        <f>IF(K491&gt;0, "Completed", "Pending")</f>
        <v/>
      </c>
      <c r="K491" s="10">
        <f>COUNTIF('Survey Responses'!F:F, F491)</f>
        <v/>
      </c>
    </row>
    <row r="492">
      <c r="A492" s="10" t="n">
        <v>491</v>
      </c>
      <c r="B492" s="11" t="inlineStr">
        <is>
          <t>Chattogram-D (GEN-A)</t>
        </is>
      </c>
      <c r="C492" s="11" t="inlineStr">
        <is>
          <t>Mr. Md. Rafiqul Islam</t>
        </is>
      </c>
      <c r="D492" s="11" t="inlineStr">
        <is>
          <t>Chattogram GEN-A-7</t>
        </is>
      </c>
      <c r="E492" s="11" t="inlineStr">
        <is>
          <t>Md. Abu Naser</t>
        </is>
      </c>
      <c r="F492" s="10" t="n">
        <v>11037</v>
      </c>
      <c r="G492" s="11" t="inlineStr">
        <is>
          <t>CTG (CMCH-2)</t>
        </is>
      </c>
      <c r="H492" s="10" t="n">
        <v>7140</v>
      </c>
      <c r="I492" s="11" t="inlineStr">
        <is>
          <t>Mr. Md. Miraj Hossain Sakil</t>
        </is>
      </c>
      <c r="J492" s="10">
        <f>IF(K492&gt;0, "Completed", "Pending")</f>
        <v/>
      </c>
      <c r="K492" s="10">
        <f>COUNTIF('Survey Responses'!F:F, F492)</f>
        <v/>
      </c>
    </row>
    <row r="493">
      <c r="A493" s="10" t="n">
        <v>492</v>
      </c>
      <c r="B493" s="11" t="inlineStr">
        <is>
          <t>Chattogram-D (GEN-A)</t>
        </is>
      </c>
      <c r="C493" s="11" t="inlineStr">
        <is>
          <t>Mr. Md. Rafiqul Islam</t>
        </is>
      </c>
      <c r="D493" s="11" t="inlineStr">
        <is>
          <t>Chattogram GEN-A-7</t>
        </is>
      </c>
      <c r="E493" s="11" t="inlineStr">
        <is>
          <t>Md. Abu Naser</t>
        </is>
      </c>
      <c r="F493" s="10" t="n">
        <v>11035</v>
      </c>
      <c r="G493" s="11" t="inlineStr">
        <is>
          <t>CTG (CSCR)-1</t>
        </is>
      </c>
      <c r="H493" s="10" t="n">
        <v>4158</v>
      </c>
      <c r="I493" s="11" t="inlineStr">
        <is>
          <t>Mr. Anwar Zahid</t>
        </is>
      </c>
      <c r="J493" s="10">
        <f>IF(K493&gt;0, "Completed", "Pending")</f>
        <v/>
      </c>
      <c r="K493" s="10">
        <f>COUNTIF('Survey Responses'!F:F, F493)</f>
        <v/>
      </c>
    </row>
    <row r="494">
      <c r="A494" s="10" t="n">
        <v>493</v>
      </c>
      <c r="B494" s="11" t="inlineStr">
        <is>
          <t>Chattogram-D (GEN-A)</t>
        </is>
      </c>
      <c r="C494" s="11" t="inlineStr">
        <is>
          <t>Mr. Md. Rafiqul Islam</t>
        </is>
      </c>
      <c r="D494" s="11" t="inlineStr">
        <is>
          <t>Chattogram GEN-A-7</t>
        </is>
      </c>
      <c r="E494" s="11" t="inlineStr">
        <is>
          <t>Md. Abu Naser</t>
        </is>
      </c>
      <c r="F494" s="10" t="n">
        <v>11034</v>
      </c>
      <c r="G494" s="11" t="inlineStr">
        <is>
          <t>CTG (CSCR)-2</t>
        </is>
      </c>
      <c r="H494" s="10" t="n">
        <v>8983</v>
      </c>
      <c r="I494" s="11" t="inlineStr">
        <is>
          <t>Mr. Md. Sohel Mia</t>
        </is>
      </c>
      <c r="J494" s="10">
        <f>IF(K494&gt;0, "Completed", "Pending")</f>
        <v/>
      </c>
      <c r="K494" s="10">
        <f>COUNTIF('Survey Responses'!F:F, F494)</f>
        <v/>
      </c>
    </row>
    <row r="495">
      <c r="A495" s="10" t="n">
        <v>494</v>
      </c>
      <c r="B495" s="11" t="inlineStr">
        <is>
          <t>Chattogram-D (GEN-A)</t>
        </is>
      </c>
      <c r="C495" s="11" t="inlineStr">
        <is>
          <t>Mr. Md. Rafiqul Islam</t>
        </is>
      </c>
      <c r="D495" s="11" t="inlineStr">
        <is>
          <t>Chattogram GEN-A-7</t>
        </is>
      </c>
      <c r="E495" s="11" t="inlineStr">
        <is>
          <t>Md. Abu Naser</t>
        </is>
      </c>
      <c r="F495" s="10" t="n">
        <v>11005</v>
      </c>
      <c r="G495" s="11" t="inlineStr">
        <is>
          <t>CTG (EPIC)-1</t>
        </is>
      </c>
      <c r="H495" s="10" t="n">
        <v>7141</v>
      </c>
      <c r="I495" s="11" t="inlineStr">
        <is>
          <t>Mr. Nymul Hossain</t>
        </is>
      </c>
      <c r="J495" s="10">
        <f>IF(K495&gt;0, "Completed", "Pending")</f>
        <v/>
      </c>
      <c r="K495" s="10">
        <f>COUNTIF('Survey Responses'!F:F, F495)</f>
        <v/>
      </c>
    </row>
    <row r="496">
      <c r="A496" s="10" t="n">
        <v>495</v>
      </c>
      <c r="B496" s="11" t="inlineStr">
        <is>
          <t>Chattogram-D (GEN-A)</t>
        </is>
      </c>
      <c r="C496" s="11" t="inlineStr">
        <is>
          <t>Mr. Md. Rafiqul Islam</t>
        </is>
      </c>
      <c r="D496" s="11" t="inlineStr">
        <is>
          <t>Chattogram GEN-A-7</t>
        </is>
      </c>
      <c r="E496" s="11" t="inlineStr">
        <is>
          <t>Md. Abu Naser</t>
        </is>
      </c>
      <c r="F496" s="10" t="n">
        <v>11011</v>
      </c>
      <c r="G496" s="11" t="inlineStr">
        <is>
          <t>CTG (EPIC)-2</t>
        </is>
      </c>
      <c r="H496" s="10" t="n">
        <v>6163</v>
      </c>
      <c r="I496" s="11" t="inlineStr">
        <is>
          <t>Mr. Uzzal Ghosh</t>
        </is>
      </c>
      <c r="J496" s="10">
        <f>IF(K496&gt;0, "Completed", "Pending")</f>
        <v/>
      </c>
      <c r="K496" s="10">
        <f>COUNTIF('Survey Responses'!F:F, F496)</f>
        <v/>
      </c>
    </row>
    <row r="497">
      <c r="A497" s="10" t="n">
        <v>496</v>
      </c>
      <c r="B497" s="11" t="inlineStr">
        <is>
          <t>Chattogram-D (GEN-A)</t>
        </is>
      </c>
      <c r="C497" s="11" t="inlineStr">
        <is>
          <t>Mr. Md. Rafiqul Islam</t>
        </is>
      </c>
      <c r="D497" s="11" t="inlineStr">
        <is>
          <t>Chattogram GEN-A-7</t>
        </is>
      </c>
      <c r="E497" s="11" t="inlineStr">
        <is>
          <t>Md. Abu Naser</t>
        </is>
      </c>
      <c r="F497" s="10" t="n">
        <v>13237</v>
      </c>
      <c r="G497" s="11" t="inlineStr">
        <is>
          <t>CTG (EPIC)-3</t>
        </is>
      </c>
      <c r="H497" s="10" t="n">
        <v>2989</v>
      </c>
      <c r="I497" s="11" t="inlineStr">
        <is>
          <t>Md. Wahidul Islam</t>
        </is>
      </c>
      <c r="J497" s="10">
        <f>IF(K497&gt;0, "Completed", "Pending")</f>
        <v/>
      </c>
      <c r="K497" s="10">
        <f>COUNTIF('Survey Responses'!F:F, F497)</f>
        <v/>
      </c>
    </row>
    <row r="498">
      <c r="A498" s="10" t="n">
        <v>497</v>
      </c>
      <c r="B498" s="11" t="inlineStr">
        <is>
          <t>Chattogram-D (GEN-A)</t>
        </is>
      </c>
      <c r="C498" s="11" t="inlineStr">
        <is>
          <t>Mr. Md. Rafiqul Islam</t>
        </is>
      </c>
      <c r="D498" s="11" t="inlineStr">
        <is>
          <t>Chattogram GEN-A-7</t>
        </is>
      </c>
      <c r="E498" s="11" t="inlineStr">
        <is>
          <t>Md. Abu Naser</t>
        </is>
      </c>
      <c r="F498" s="10" t="n">
        <v>14630</v>
      </c>
      <c r="G498" s="11" t="inlineStr">
        <is>
          <t>CTG (EPIC)-4</t>
        </is>
      </c>
      <c r="H498" s="10" t="n">
        <v>7733</v>
      </c>
      <c r="I498" s="11" t="inlineStr">
        <is>
          <t>Mr. Md. Sabuj Ali</t>
        </is>
      </c>
      <c r="J498" s="10">
        <f>IF(K498&gt;0, "Completed", "Pending")</f>
        <v/>
      </c>
      <c r="K498" s="10">
        <f>COUNTIF('Survey Responses'!F:F, F498)</f>
        <v/>
      </c>
    </row>
    <row r="499">
      <c r="A499" s="10" t="n">
        <v>498</v>
      </c>
      <c r="B499" s="11" t="inlineStr">
        <is>
          <t>Chattogram-D (GEN-A)</t>
        </is>
      </c>
      <c r="C499" s="11" t="inlineStr">
        <is>
          <t>Mr. Md. Rafiqul Islam</t>
        </is>
      </c>
      <c r="D499" s="11" t="inlineStr">
        <is>
          <t>Fatikchari GEN-A-1</t>
        </is>
      </c>
      <c r="E499" s="11" t="inlineStr">
        <is>
          <t>Mr. Md. Biddut Hosen</t>
        </is>
      </c>
      <c r="F499" s="10" t="n">
        <v>13661</v>
      </c>
      <c r="G499" s="11" t="inlineStr">
        <is>
          <t>Kazirhat-1</t>
        </is>
      </c>
      <c r="H499" s="10" t="n">
        <v>5188</v>
      </c>
      <c r="I499" s="11" t="inlineStr">
        <is>
          <t>Mr. Md. Kawsar Howlader</t>
        </is>
      </c>
      <c r="J499" s="10">
        <f>IF(K499&gt;0, "Completed", "Pending")</f>
        <v/>
      </c>
      <c r="K499" s="10">
        <f>COUNTIF('Survey Responses'!F:F, F499)</f>
        <v/>
      </c>
    </row>
    <row r="500">
      <c r="A500" s="10" t="n">
        <v>499</v>
      </c>
      <c r="B500" s="11" t="inlineStr">
        <is>
          <t>Chattogram-D (GEN-A)</t>
        </is>
      </c>
      <c r="C500" s="11" t="inlineStr">
        <is>
          <t>Mr. Md. Rafiqul Islam</t>
        </is>
      </c>
      <c r="D500" s="11" t="inlineStr">
        <is>
          <t>Fatikchari GEN-A-1</t>
        </is>
      </c>
      <c r="E500" s="11" t="inlineStr">
        <is>
          <t>Mr. Md. Biddut Hosen</t>
        </is>
      </c>
      <c r="F500" s="10" t="n">
        <v>11811</v>
      </c>
      <c r="G500" s="11" t="inlineStr">
        <is>
          <t>Nanupur-1</t>
        </is>
      </c>
      <c r="H500" s="10" t="n">
        <v>3269</v>
      </c>
      <c r="I500" s="11" t="inlineStr">
        <is>
          <t>Razib Hossain</t>
        </is>
      </c>
      <c r="J500" s="10">
        <f>IF(K500&gt;0, "Completed", "Pending")</f>
        <v/>
      </c>
      <c r="K500" s="10">
        <f>COUNTIF('Survey Responses'!F:F, F500)</f>
        <v/>
      </c>
    </row>
    <row r="501">
      <c r="A501" s="10" t="n">
        <v>500</v>
      </c>
      <c r="B501" s="11" t="inlineStr">
        <is>
          <t>Chattogram-D (GEN-A)</t>
        </is>
      </c>
      <c r="C501" s="11" t="inlineStr">
        <is>
          <t>Mr. Md. Rafiqul Islam</t>
        </is>
      </c>
      <c r="D501" s="11" t="inlineStr">
        <is>
          <t>Fatikchari GEN-A-1</t>
        </is>
      </c>
      <c r="E501" s="11" t="inlineStr">
        <is>
          <t>Mr. Md. Biddut Hosen</t>
        </is>
      </c>
      <c r="F501" s="10" t="n">
        <v>14546</v>
      </c>
      <c r="G501" s="11" t="inlineStr">
        <is>
          <t>Narayanhat-1</t>
        </is>
      </c>
      <c r="H501" s="10" t="n">
        <v>7619</v>
      </c>
      <c r="I501" s="11" t="inlineStr">
        <is>
          <t>Mr. Toha</t>
        </is>
      </c>
      <c r="J501" s="10">
        <f>IF(K501&gt;0, "Completed", "Pending")</f>
        <v/>
      </c>
      <c r="K501" s="10">
        <f>COUNTIF('Survey Responses'!F:F, F501)</f>
        <v/>
      </c>
    </row>
    <row r="502">
      <c r="A502" s="10" t="n">
        <v>501</v>
      </c>
      <c r="B502" s="11" t="inlineStr">
        <is>
          <t>Chattogram-D (GEN-A)</t>
        </is>
      </c>
      <c r="C502" s="11" t="inlineStr">
        <is>
          <t>Mr. Md. Rafiqul Islam</t>
        </is>
      </c>
      <c r="D502" s="11" t="inlineStr">
        <is>
          <t>Fatikchari GEN-A-1</t>
        </is>
      </c>
      <c r="E502" s="11" t="inlineStr">
        <is>
          <t>Mr. Md. Biddut Hosen</t>
        </is>
      </c>
      <c r="F502" s="10" t="n">
        <v>11022</v>
      </c>
      <c r="G502" s="11" t="inlineStr">
        <is>
          <t>Nazirhat-1</t>
        </is>
      </c>
      <c r="H502" s="10" t="n">
        <v>1704</v>
      </c>
      <c r="I502" s="11" t="inlineStr">
        <is>
          <t>Md. Salim Jahangir</t>
        </is>
      </c>
      <c r="J502" s="10">
        <f>IF(K502&gt;0, "Completed", "Pending")</f>
        <v/>
      </c>
      <c r="K502" s="10">
        <f>COUNTIF('Survey Responses'!F:F, F502)</f>
        <v/>
      </c>
    </row>
    <row r="503">
      <c r="A503" s="10" t="n">
        <v>502</v>
      </c>
      <c r="B503" s="11" t="inlineStr">
        <is>
          <t>Chattogram-D (GEN-A)</t>
        </is>
      </c>
      <c r="C503" s="11" t="inlineStr">
        <is>
          <t>Mr. Md. Rafiqul Islam</t>
        </is>
      </c>
      <c r="D503" s="11" t="inlineStr">
        <is>
          <t>Fatikchari GEN-A-1</t>
        </is>
      </c>
      <c r="E503" s="11" t="inlineStr">
        <is>
          <t>Mr. Md. Biddut Hosen</t>
        </is>
      </c>
      <c r="F503" s="10" t="n">
        <v>11020</v>
      </c>
      <c r="G503" s="11" t="inlineStr">
        <is>
          <t>Nazirhat-2</t>
        </is>
      </c>
      <c r="H503" s="10" t="n">
        <v>5039</v>
      </c>
      <c r="I503" s="11" t="inlineStr">
        <is>
          <t>Mr. Rajib Sarker</t>
        </is>
      </c>
      <c r="J503" s="10">
        <f>IF(K503&gt;0, "Completed", "Pending")</f>
        <v/>
      </c>
      <c r="K503" s="10">
        <f>COUNTIF('Survey Responses'!F:F, F503)</f>
        <v/>
      </c>
    </row>
    <row r="504">
      <c r="A504" s="10" t="n">
        <v>503</v>
      </c>
      <c r="B504" s="11" t="inlineStr">
        <is>
          <t>Chattogram-D (GEN-A)</t>
        </is>
      </c>
      <c r="C504" s="11" t="inlineStr">
        <is>
          <t>Mr. Md. Rafiqul Islam</t>
        </is>
      </c>
      <c r="D504" s="11" t="inlineStr">
        <is>
          <t>Fatikchari GEN-A-1</t>
        </is>
      </c>
      <c r="E504" s="11" t="inlineStr">
        <is>
          <t>Mr. Md. Biddut Hosen</t>
        </is>
      </c>
      <c r="F504" s="10" t="n">
        <v>11023</v>
      </c>
      <c r="G504" s="11" t="inlineStr">
        <is>
          <t>Nazirhat-3</t>
        </is>
      </c>
      <c r="H504" s="10" t="n">
        <v>7303</v>
      </c>
      <c r="I504" s="11" t="inlineStr">
        <is>
          <t>Mr. Raju Ahmed</t>
        </is>
      </c>
      <c r="J504" s="10">
        <f>IF(K504&gt;0, "Completed", "Pending")</f>
        <v/>
      </c>
      <c r="K504" s="10">
        <f>COUNTIF('Survey Responses'!F:F, F504)</f>
        <v/>
      </c>
    </row>
    <row r="505">
      <c r="A505" s="10" t="n">
        <v>504</v>
      </c>
      <c r="B505" s="11" t="inlineStr">
        <is>
          <t>Chattogram-D (GEN-A)</t>
        </is>
      </c>
      <c r="C505" s="11" t="inlineStr">
        <is>
          <t>Mr. Md. Rafiqul Islam</t>
        </is>
      </c>
      <c r="D505" s="11" t="inlineStr">
        <is>
          <t>Fatikchari GEN-A-1</t>
        </is>
      </c>
      <c r="E505" s="11" t="inlineStr">
        <is>
          <t>Mr. Md. Biddut Hosen</t>
        </is>
      </c>
      <c r="F505" s="10" t="n">
        <v>11024</v>
      </c>
      <c r="G505" s="11" t="inlineStr">
        <is>
          <t>Nazirhat-4</t>
        </is>
      </c>
      <c r="H505" s="10" t="n">
        <v>2840</v>
      </c>
      <c r="I505" s="11" t="inlineStr">
        <is>
          <t>Sukomal Rai</t>
        </is>
      </c>
      <c r="J505" s="10">
        <f>IF(K505&gt;0, "Completed", "Pending")</f>
        <v/>
      </c>
      <c r="K505" s="10">
        <f>COUNTIF('Survey Responses'!F:F, F505)</f>
        <v/>
      </c>
    </row>
    <row r="506">
      <c r="A506" s="10" t="n">
        <v>505</v>
      </c>
      <c r="B506" s="11" t="inlineStr">
        <is>
          <t>Chattogram-D (GEN-A)</t>
        </is>
      </c>
      <c r="C506" s="11" t="inlineStr">
        <is>
          <t>Mr. Md. Rafiqul Islam</t>
        </is>
      </c>
      <c r="D506" s="11" t="inlineStr">
        <is>
          <t>Fatikchari GEN-A-1</t>
        </is>
      </c>
      <c r="E506" s="11" t="inlineStr">
        <is>
          <t>Mr. Md. Biddut Hosen</t>
        </is>
      </c>
      <c r="F506" s="10" t="n">
        <v>12601</v>
      </c>
      <c r="G506" s="11" t="inlineStr">
        <is>
          <t>Nazirhat-5</t>
        </is>
      </c>
      <c r="H506" s="10" t="n">
        <v>7117</v>
      </c>
      <c r="I506" s="11" t="inlineStr">
        <is>
          <t>Mr. Mohin Uddin</t>
        </is>
      </c>
      <c r="J506" s="10">
        <f>IF(K506&gt;0, "Completed", "Pending")</f>
        <v/>
      </c>
      <c r="K506" s="10">
        <f>COUNTIF('Survey Responses'!F:F, F506)</f>
        <v/>
      </c>
    </row>
    <row r="507">
      <c r="A507" s="10" t="n">
        <v>506</v>
      </c>
      <c r="B507" s="11" t="inlineStr">
        <is>
          <t>Chattogram-D (GEN-A)</t>
        </is>
      </c>
      <c r="C507" s="11" t="inlineStr">
        <is>
          <t>Mr. Md. Rafiqul Islam</t>
        </is>
      </c>
      <c r="D507" s="11" t="inlineStr">
        <is>
          <t>Fatikchari GEN-A-2</t>
        </is>
      </c>
      <c r="E507" s="11" t="inlineStr">
        <is>
          <t>Md. Sumsuddoha</t>
        </is>
      </c>
      <c r="F507" s="10" t="n">
        <v>11019</v>
      </c>
      <c r="G507" s="11" t="inlineStr">
        <is>
          <t>Bibirhat-1</t>
        </is>
      </c>
      <c r="H507" s="10" t="n">
        <v>1597</v>
      </c>
      <c r="I507" s="11" t="inlineStr">
        <is>
          <t>Md. Hasan Uddin</t>
        </is>
      </c>
      <c r="J507" s="10">
        <f>IF(K507&gt;0, "Completed", "Pending")</f>
        <v/>
      </c>
      <c r="K507" s="10">
        <f>COUNTIF('Survey Responses'!F:F, F507)</f>
        <v/>
      </c>
    </row>
    <row r="508">
      <c r="A508" s="10" t="n">
        <v>507</v>
      </c>
      <c r="B508" s="11" t="inlineStr">
        <is>
          <t>Chattogram-D (GEN-A)</t>
        </is>
      </c>
      <c r="C508" s="11" t="inlineStr">
        <is>
          <t>Mr. Md. Rafiqul Islam</t>
        </is>
      </c>
      <c r="D508" s="11" t="inlineStr">
        <is>
          <t>Fatikchari GEN-A-2</t>
        </is>
      </c>
      <c r="E508" s="11" t="inlineStr">
        <is>
          <t>Md. Sumsuddoha</t>
        </is>
      </c>
      <c r="F508" s="10" t="n">
        <v>11021</v>
      </c>
      <c r="G508" s="11" t="inlineStr">
        <is>
          <t>Bibirhat-2</t>
        </is>
      </c>
      <c r="H508" s="10" t="n">
        <v>7423</v>
      </c>
      <c r="I508" s="11" t="inlineStr">
        <is>
          <t>Mr. Md. Mohosin</t>
        </is>
      </c>
      <c r="J508" s="10">
        <f>IF(K508&gt;0, "Completed", "Pending")</f>
        <v/>
      </c>
      <c r="K508" s="10">
        <f>COUNTIF('Survey Responses'!F:F, F508)</f>
        <v/>
      </c>
    </row>
    <row r="509">
      <c r="A509" s="10" t="n">
        <v>508</v>
      </c>
      <c r="B509" s="11" t="inlineStr">
        <is>
          <t>Chattogram-D (GEN-A)</t>
        </is>
      </c>
      <c r="C509" s="11" t="inlineStr">
        <is>
          <t>Mr. Md. Rafiqul Islam</t>
        </is>
      </c>
      <c r="D509" s="11" t="inlineStr">
        <is>
          <t>Fatikchari GEN-A-2</t>
        </is>
      </c>
      <c r="E509" s="11" t="inlineStr">
        <is>
          <t>Md. Sumsuddoha</t>
        </is>
      </c>
      <c r="F509" s="10" t="n">
        <v>12298</v>
      </c>
      <c r="G509" s="11" t="inlineStr">
        <is>
          <t>Bibirhat-3</t>
        </is>
      </c>
      <c r="H509" s="10" t="n">
        <v>3681</v>
      </c>
      <c r="I509" s="11" t="inlineStr">
        <is>
          <t>Mr. Nirmol Chandra Roy</t>
        </is>
      </c>
      <c r="J509" s="10">
        <f>IF(K509&gt;0, "Completed", "Pending")</f>
        <v/>
      </c>
      <c r="K509" s="10">
        <f>COUNTIF('Survey Responses'!F:F, F509)</f>
        <v/>
      </c>
    </row>
    <row r="510">
      <c r="A510" s="10" t="n">
        <v>509</v>
      </c>
      <c r="B510" s="11" t="inlineStr">
        <is>
          <t>Chattogram-D (GEN-A)</t>
        </is>
      </c>
      <c r="C510" s="11" t="inlineStr">
        <is>
          <t>Mr. Md. Rafiqul Islam</t>
        </is>
      </c>
      <c r="D510" s="11" t="inlineStr">
        <is>
          <t>Fatikchari GEN-A-2</t>
        </is>
      </c>
      <c r="E510" s="11" t="inlineStr">
        <is>
          <t>Md. Sumsuddoha</t>
        </is>
      </c>
      <c r="F510" s="10" t="n">
        <v>14076</v>
      </c>
      <c r="G510" s="11" t="inlineStr">
        <is>
          <t>Dighinala-1</t>
        </is>
      </c>
      <c r="H510" s="10" t="n">
        <v>3427</v>
      </c>
      <c r="I510" s="11" t="inlineStr">
        <is>
          <t>Mr. Haritosh Chandra Das</t>
        </is>
      </c>
      <c r="J510" s="10">
        <f>IF(K510&gt;0, "Completed", "Pending")</f>
        <v/>
      </c>
      <c r="K510" s="10">
        <f>COUNTIF('Survey Responses'!F:F, F510)</f>
        <v/>
      </c>
    </row>
    <row r="511">
      <c r="A511" s="10" t="n">
        <v>510</v>
      </c>
      <c r="B511" s="11" t="inlineStr">
        <is>
          <t>Chattogram-D (GEN-A)</t>
        </is>
      </c>
      <c r="C511" s="11" t="inlineStr">
        <is>
          <t>Mr. Md. Rafiqul Islam</t>
        </is>
      </c>
      <c r="D511" s="11" t="inlineStr">
        <is>
          <t>Fatikchari GEN-A-2</t>
        </is>
      </c>
      <c r="E511" s="11" t="inlineStr">
        <is>
          <t>Md. Sumsuddoha</t>
        </is>
      </c>
      <c r="F511" s="10" t="n">
        <v>11025</v>
      </c>
      <c r="G511" s="11" t="inlineStr">
        <is>
          <t>Khagrachari-1</t>
        </is>
      </c>
      <c r="H511" s="10" t="n">
        <v>3082</v>
      </c>
      <c r="I511" s="11" t="inlineStr">
        <is>
          <t>Md. Rabiul Islam</t>
        </is>
      </c>
      <c r="J511" s="10">
        <f>IF(K511&gt;0, "Completed", "Pending")</f>
        <v/>
      </c>
      <c r="K511" s="10">
        <f>COUNTIF('Survey Responses'!F:F, F511)</f>
        <v/>
      </c>
    </row>
    <row r="512">
      <c r="A512" s="10" t="n">
        <v>511</v>
      </c>
      <c r="B512" s="11" t="inlineStr">
        <is>
          <t>Chattogram-D (GEN-A)</t>
        </is>
      </c>
      <c r="C512" s="11" t="inlineStr">
        <is>
          <t>Mr. Md. Rafiqul Islam</t>
        </is>
      </c>
      <c r="D512" s="11" t="inlineStr">
        <is>
          <t>Fatikchari GEN-A-2</t>
        </is>
      </c>
      <c r="E512" s="11" t="inlineStr">
        <is>
          <t>Md. Sumsuddoha</t>
        </is>
      </c>
      <c r="F512" s="10" t="n">
        <v>12343</v>
      </c>
      <c r="G512" s="11" t="inlineStr">
        <is>
          <t>Khagrachari-2</t>
        </is>
      </c>
      <c r="H512" s="10" t="n">
        <v>1911</v>
      </c>
      <c r="I512" s="11" t="inlineStr">
        <is>
          <t>Md. Alamgir Hossain</t>
        </is>
      </c>
      <c r="J512" s="10">
        <f>IF(K512&gt;0, "Completed", "Pending")</f>
        <v/>
      </c>
      <c r="K512" s="10">
        <f>COUNTIF('Survey Responses'!F:F, F512)</f>
        <v/>
      </c>
    </row>
    <row r="513">
      <c r="A513" s="10" t="n">
        <v>512</v>
      </c>
      <c r="B513" s="11" t="inlineStr">
        <is>
          <t>Chattogram-D (GEN-A)</t>
        </is>
      </c>
      <c r="C513" s="11" t="inlineStr">
        <is>
          <t>Mr. Md. Rafiqul Islam</t>
        </is>
      </c>
      <c r="D513" s="11" t="inlineStr">
        <is>
          <t>Fatikchari GEN-A-2</t>
        </is>
      </c>
      <c r="E513" s="11" t="inlineStr">
        <is>
          <t>Md. Sumsuddoha</t>
        </is>
      </c>
      <c r="F513" s="10" t="n">
        <v>13177</v>
      </c>
      <c r="G513" s="11" t="inlineStr">
        <is>
          <t>Manikchari-1</t>
        </is>
      </c>
      <c r="H513" s="10" t="n">
        <v>4037</v>
      </c>
      <c r="I513" s="11" t="inlineStr">
        <is>
          <t>Md. Ahasan Habib</t>
        </is>
      </c>
      <c r="J513" s="10">
        <f>IF(K513&gt;0, "Completed", "Pending")</f>
        <v/>
      </c>
      <c r="K513" s="10">
        <f>COUNTIF('Survey Responses'!F:F, F513)</f>
        <v/>
      </c>
    </row>
    <row r="514">
      <c r="A514" s="10" t="n">
        <v>513</v>
      </c>
      <c r="B514" s="11" t="inlineStr">
        <is>
          <t>Chattogram-D (GEN-A)</t>
        </is>
      </c>
      <c r="C514" s="11" t="inlineStr">
        <is>
          <t>Mr. Md. Rafiqul Islam</t>
        </is>
      </c>
      <c r="D514" s="11" t="inlineStr">
        <is>
          <t>Fatikchari GEN-A-2</t>
        </is>
      </c>
      <c r="E514" s="11" t="inlineStr">
        <is>
          <t>Md. Sumsuddoha</t>
        </is>
      </c>
      <c r="F514" s="10" t="n">
        <v>14713</v>
      </c>
      <c r="G514" s="11" t="inlineStr">
        <is>
          <t>Matiranga-1</t>
        </is>
      </c>
      <c r="H514" s="10" t="n">
        <v>1863</v>
      </c>
      <c r="I514" s="11" t="inlineStr">
        <is>
          <t>Md. Ariful Islam</t>
        </is>
      </c>
      <c r="J514" s="10">
        <f>IF(K514&gt;0, "Completed", "Pending")</f>
        <v/>
      </c>
      <c r="K514" s="10">
        <f>COUNTIF('Survey Responses'!F:F, F514)</f>
        <v/>
      </c>
    </row>
    <row r="515">
      <c r="A515" s="10" t="n">
        <v>514</v>
      </c>
      <c r="B515" s="11" t="inlineStr">
        <is>
          <t>Cox Bazar (GEN-A)</t>
        </is>
      </c>
      <c r="C515" s="11" t="inlineStr">
        <is>
          <t>Mr. Zakir Hossain</t>
        </is>
      </c>
      <c r="D515" s="11" t="inlineStr">
        <is>
          <t>Amirabad GEN-A-1</t>
        </is>
      </c>
      <c r="E515" s="11" t="inlineStr">
        <is>
          <t>Mr. Dabashis Sarker</t>
        </is>
      </c>
      <c r="F515" s="10" t="n">
        <v>11070</v>
      </c>
      <c r="G515" s="11" t="inlineStr">
        <is>
          <t>Amirabad-1</t>
        </is>
      </c>
      <c r="H515" s="10" t="n">
        <v>5615</v>
      </c>
      <c r="I515" s="11" t="inlineStr">
        <is>
          <t>Mr. Md. Mir Hossan</t>
        </is>
      </c>
      <c r="J515" s="10">
        <f>IF(K515&gt;0, "Completed", "Pending")</f>
        <v/>
      </c>
      <c r="K515" s="10">
        <f>COUNTIF('Survey Responses'!F:F, F515)</f>
        <v/>
      </c>
    </row>
    <row r="516">
      <c r="A516" s="10" t="n">
        <v>515</v>
      </c>
      <c r="B516" s="11" t="inlineStr">
        <is>
          <t>Cox Bazar (GEN-A)</t>
        </is>
      </c>
      <c r="C516" s="11" t="inlineStr">
        <is>
          <t>Mr. Zakir Hossain</t>
        </is>
      </c>
      <c r="D516" s="11" t="inlineStr">
        <is>
          <t>Amirabad GEN-A-1</t>
        </is>
      </c>
      <c r="E516" s="11" t="inlineStr">
        <is>
          <t>Mr. Dabashis Sarker</t>
        </is>
      </c>
      <c r="F516" s="10" t="n">
        <v>11065</v>
      </c>
      <c r="G516" s="11" t="inlineStr">
        <is>
          <t>Amirabad-2</t>
        </is>
      </c>
      <c r="H516" s="10" t="n">
        <v>8735</v>
      </c>
      <c r="I516" s="11" t="inlineStr">
        <is>
          <t>Mr. Md. Shamsul Arifin Linkon</t>
        </is>
      </c>
      <c r="J516" s="10">
        <f>IF(K516&gt;0, "Completed", "Pending")</f>
        <v/>
      </c>
      <c r="K516" s="10">
        <f>COUNTIF('Survey Responses'!F:F, F516)</f>
        <v/>
      </c>
    </row>
    <row r="517">
      <c r="A517" s="10" t="n">
        <v>516</v>
      </c>
      <c r="B517" s="11" t="inlineStr">
        <is>
          <t>Cox Bazar (GEN-A)</t>
        </is>
      </c>
      <c r="C517" s="11" t="inlineStr">
        <is>
          <t>Mr. Zakir Hossain</t>
        </is>
      </c>
      <c r="D517" s="11" t="inlineStr">
        <is>
          <t>Amirabad GEN-A-1</t>
        </is>
      </c>
      <c r="E517" s="11" t="inlineStr">
        <is>
          <t>Mr. Dabashis Sarker</t>
        </is>
      </c>
      <c r="F517" s="10" t="n">
        <v>11068</v>
      </c>
      <c r="G517" s="11" t="inlineStr">
        <is>
          <t>Amirabad-3</t>
        </is>
      </c>
      <c r="H517" s="10" t="n">
        <v>5973</v>
      </c>
      <c r="I517" s="11" t="inlineStr">
        <is>
          <t>Mr. Sabuz Kumar Seen</t>
        </is>
      </c>
      <c r="J517" s="10">
        <f>IF(K517&gt;0, "Completed", "Pending")</f>
        <v/>
      </c>
      <c r="K517" s="10">
        <f>COUNTIF('Survey Responses'!F:F, F517)</f>
        <v/>
      </c>
    </row>
    <row r="518">
      <c r="A518" s="10" t="n">
        <v>517</v>
      </c>
      <c r="B518" s="11" t="inlineStr">
        <is>
          <t>Cox Bazar (GEN-A)</t>
        </is>
      </c>
      <c r="C518" s="11" t="inlineStr">
        <is>
          <t>Mr. Zakir Hossain</t>
        </is>
      </c>
      <c r="D518" s="11" t="inlineStr">
        <is>
          <t>Amirabad GEN-A-1</t>
        </is>
      </c>
      <c r="E518" s="11" t="inlineStr">
        <is>
          <t>Mr. Dabashis Sarker</t>
        </is>
      </c>
      <c r="F518" s="10" t="n">
        <v>11069</v>
      </c>
      <c r="G518" s="11" t="inlineStr">
        <is>
          <t>Amirabad-4</t>
        </is>
      </c>
      <c r="H518" s="10" t="n">
        <v>2265</v>
      </c>
      <c r="I518" s="11" t="inlineStr">
        <is>
          <t>Md. Shaheb Ali</t>
        </is>
      </c>
      <c r="J518" s="10">
        <f>IF(K518&gt;0, "Completed", "Pending")</f>
        <v/>
      </c>
      <c r="K518" s="10">
        <f>COUNTIF('Survey Responses'!F:F, F518)</f>
        <v/>
      </c>
    </row>
    <row r="519">
      <c r="A519" s="10" t="n">
        <v>518</v>
      </c>
      <c r="B519" s="11" t="inlineStr">
        <is>
          <t>Cox Bazar (GEN-A)</t>
        </is>
      </c>
      <c r="C519" s="11" t="inlineStr">
        <is>
          <t>Mr. Zakir Hossain</t>
        </is>
      </c>
      <c r="D519" s="11" t="inlineStr">
        <is>
          <t>Amirabad GEN-A-1</t>
        </is>
      </c>
      <c r="E519" s="11" t="inlineStr">
        <is>
          <t>Mr. Dabashis Sarker</t>
        </is>
      </c>
      <c r="F519" s="10" t="n">
        <v>12554</v>
      </c>
      <c r="G519" s="11" t="inlineStr">
        <is>
          <t>Amirabad-5</t>
        </is>
      </c>
      <c r="H519" s="10" t="n">
        <v>5333</v>
      </c>
      <c r="I519" s="11" t="inlineStr">
        <is>
          <t>Mr. Md. Miraj Sikder</t>
        </is>
      </c>
      <c r="J519" s="10">
        <f>IF(K519&gt;0, "Completed", "Pending")</f>
        <v/>
      </c>
      <c r="K519" s="10">
        <f>COUNTIF('Survey Responses'!F:F, F519)</f>
        <v/>
      </c>
    </row>
    <row r="520">
      <c r="A520" s="10" t="n">
        <v>519</v>
      </c>
      <c r="B520" s="11" t="inlineStr">
        <is>
          <t>Cox Bazar (GEN-A)</t>
        </is>
      </c>
      <c r="C520" s="11" t="inlineStr">
        <is>
          <t>Mr. Zakir Hossain</t>
        </is>
      </c>
      <c r="D520" s="11" t="inlineStr">
        <is>
          <t>Amirabad GEN-A-1</t>
        </is>
      </c>
      <c r="E520" s="11" t="inlineStr">
        <is>
          <t>Mr. Dabashis Sarker</t>
        </is>
      </c>
      <c r="F520" s="10" t="n">
        <v>13060</v>
      </c>
      <c r="G520" s="11" t="inlineStr">
        <is>
          <t>Amirabad-6</t>
        </is>
      </c>
      <c r="H520" s="10" t="n">
        <v>6936</v>
      </c>
      <c r="I520" s="11" t="inlineStr">
        <is>
          <t>Mr. Md. Mehedi Hasan</t>
        </is>
      </c>
      <c r="J520" s="10">
        <f>IF(K520&gt;0, "Completed", "Pending")</f>
        <v/>
      </c>
      <c r="K520" s="10">
        <f>COUNTIF('Survey Responses'!F:F, F520)</f>
        <v/>
      </c>
    </row>
    <row r="521">
      <c r="A521" s="10" t="n">
        <v>520</v>
      </c>
      <c r="B521" s="11" t="inlineStr">
        <is>
          <t>Cox Bazar (GEN-A)</t>
        </is>
      </c>
      <c r="C521" s="11" t="inlineStr">
        <is>
          <t>Mr. Zakir Hossain</t>
        </is>
      </c>
      <c r="D521" s="11" t="inlineStr">
        <is>
          <t>Amirabad GEN-A-1</t>
        </is>
      </c>
      <c r="E521" s="11" t="inlineStr">
        <is>
          <t>Mr. Dabashis Sarker</t>
        </is>
      </c>
      <c r="F521" s="10" t="n">
        <v>14539</v>
      </c>
      <c r="G521" s="11" t="inlineStr">
        <is>
          <t>Padua-1</t>
        </is>
      </c>
      <c r="H521" s="10" t="n">
        <v>8780</v>
      </c>
      <c r="I521" s="11" t="inlineStr">
        <is>
          <t>Mr. Rubel Islam</t>
        </is>
      </c>
      <c r="J521" s="10">
        <f>IF(K521&gt;0, "Completed", "Pending")</f>
        <v/>
      </c>
      <c r="K521" s="10">
        <f>COUNTIF('Survey Responses'!F:F, F521)</f>
        <v/>
      </c>
    </row>
    <row r="522">
      <c r="A522" s="10" t="n">
        <v>521</v>
      </c>
      <c r="B522" s="11" t="inlineStr">
        <is>
          <t>Cox Bazar (GEN-A)</t>
        </is>
      </c>
      <c r="C522" s="11" t="inlineStr">
        <is>
          <t>Mr. Zakir Hossain</t>
        </is>
      </c>
      <c r="D522" s="11" t="inlineStr">
        <is>
          <t>Chakaria GEN-A-1</t>
        </is>
      </c>
      <c r="E522" s="11" t="inlineStr">
        <is>
          <t>Mr. Mohammad Nazrul Islam</t>
        </is>
      </c>
      <c r="F522" s="10" t="n">
        <v>11040</v>
      </c>
      <c r="G522" s="11" t="inlineStr">
        <is>
          <t>Chakaria-1</t>
        </is>
      </c>
      <c r="H522" s="10" t="n">
        <v>1933</v>
      </c>
      <c r="I522" s="11" t="inlineStr">
        <is>
          <t>Ripan Saha</t>
        </is>
      </c>
      <c r="J522" s="10">
        <f>IF(K522&gt;0, "Completed", "Pending")</f>
        <v/>
      </c>
      <c r="K522" s="10">
        <f>COUNTIF('Survey Responses'!F:F, F522)</f>
        <v/>
      </c>
    </row>
    <row r="523">
      <c r="A523" s="10" t="n">
        <v>522</v>
      </c>
      <c r="B523" s="11" t="inlineStr">
        <is>
          <t>Cox Bazar (GEN-A)</t>
        </is>
      </c>
      <c r="C523" s="11" t="inlineStr">
        <is>
          <t>Mr. Zakir Hossain</t>
        </is>
      </c>
      <c r="D523" s="11" t="inlineStr">
        <is>
          <t>Chakaria GEN-A-1</t>
        </is>
      </c>
      <c r="E523" s="11" t="inlineStr">
        <is>
          <t>Mr. Mohammad Nazrul Islam</t>
        </is>
      </c>
      <c r="F523" s="10" t="n">
        <v>11043</v>
      </c>
      <c r="G523" s="11" t="inlineStr">
        <is>
          <t>Chakaria-2</t>
        </is>
      </c>
      <c r="H523" s="10" t="n">
        <v>8853</v>
      </c>
      <c r="I523" s="11" t="inlineStr">
        <is>
          <t>Mr. Md. Nazmus Sakib</t>
        </is>
      </c>
      <c r="J523" s="10">
        <f>IF(K523&gt;0, "Completed", "Pending")</f>
        <v/>
      </c>
      <c r="K523" s="10">
        <f>COUNTIF('Survey Responses'!F:F, F523)</f>
        <v/>
      </c>
    </row>
    <row r="524">
      <c r="A524" s="10" t="n">
        <v>523</v>
      </c>
      <c r="B524" s="11" t="inlineStr">
        <is>
          <t>Cox Bazar (GEN-A)</t>
        </is>
      </c>
      <c r="C524" s="11" t="inlineStr">
        <is>
          <t>Mr. Zakir Hossain</t>
        </is>
      </c>
      <c r="D524" s="11" t="inlineStr">
        <is>
          <t>Chakaria GEN-A-1</t>
        </is>
      </c>
      <c r="E524" s="11" t="inlineStr">
        <is>
          <t>Mr. Mohammad Nazrul Islam</t>
        </is>
      </c>
      <c r="F524" s="10" t="n">
        <v>11044</v>
      </c>
      <c r="G524" s="11" t="inlineStr">
        <is>
          <t>Chakaria-3</t>
        </is>
      </c>
      <c r="H524" s="10" t="n">
        <v>2837</v>
      </c>
      <c r="I524" s="11" t="inlineStr">
        <is>
          <t>Md. Emdadul Haq</t>
        </is>
      </c>
      <c r="J524" s="10">
        <f>IF(K524&gt;0, "Completed", "Pending")</f>
        <v/>
      </c>
      <c r="K524" s="10">
        <f>COUNTIF('Survey Responses'!F:F, F524)</f>
        <v/>
      </c>
    </row>
    <row r="525">
      <c r="A525" s="10" t="n">
        <v>524</v>
      </c>
      <c r="B525" s="11" t="inlineStr">
        <is>
          <t>Cox Bazar (GEN-A)</t>
        </is>
      </c>
      <c r="C525" s="11" t="inlineStr">
        <is>
          <t>Mr. Zakir Hossain</t>
        </is>
      </c>
      <c r="D525" s="11" t="inlineStr">
        <is>
          <t>Chakaria GEN-A-1</t>
        </is>
      </c>
      <c r="E525" s="11" t="inlineStr">
        <is>
          <t>Mr. Mohammad Nazrul Islam</t>
        </is>
      </c>
      <c r="F525" s="10" t="n">
        <v>11045</v>
      </c>
      <c r="G525" s="11" t="inlineStr">
        <is>
          <t>Chakaria-4</t>
        </is>
      </c>
      <c r="H525" s="10" t="n">
        <v>2106</v>
      </c>
      <c r="I525" s="11" t="inlineStr">
        <is>
          <t>Abdur Rhahman Rani</t>
        </is>
      </c>
      <c r="J525" s="10">
        <f>IF(K525&gt;0, "Completed", "Pending")</f>
        <v/>
      </c>
      <c r="K525" s="10">
        <f>COUNTIF('Survey Responses'!F:F, F525)</f>
        <v/>
      </c>
    </row>
    <row r="526">
      <c r="A526" s="10" t="n">
        <v>525</v>
      </c>
      <c r="B526" s="11" t="inlineStr">
        <is>
          <t>Cox Bazar (GEN-A)</t>
        </is>
      </c>
      <c r="C526" s="11" t="inlineStr">
        <is>
          <t>Mr. Zakir Hossain</t>
        </is>
      </c>
      <c r="D526" s="11" t="inlineStr">
        <is>
          <t>Chakaria GEN-A-1</t>
        </is>
      </c>
      <c r="E526" s="11" t="inlineStr">
        <is>
          <t>Mr. Mohammad Nazrul Islam</t>
        </is>
      </c>
      <c r="F526" s="10" t="n">
        <v>12292</v>
      </c>
      <c r="G526" s="11" t="inlineStr">
        <is>
          <t>Chakaria-5</t>
        </is>
      </c>
      <c r="H526" s="10" t="n">
        <v>7233</v>
      </c>
      <c r="I526" s="11" t="inlineStr">
        <is>
          <t>Mr. Md. Nahid-Ul-Islam</t>
        </is>
      </c>
      <c r="J526" s="10">
        <f>IF(K526&gt;0, "Completed", "Pending")</f>
        <v/>
      </c>
      <c r="K526" s="10">
        <f>COUNTIF('Survey Responses'!F:F, F526)</f>
        <v/>
      </c>
    </row>
    <row r="527">
      <c r="A527" s="10" t="n">
        <v>526</v>
      </c>
      <c r="B527" s="11" t="inlineStr">
        <is>
          <t>Cox Bazar (GEN-A)</t>
        </is>
      </c>
      <c r="C527" s="11" t="inlineStr">
        <is>
          <t>Mr. Zakir Hossain</t>
        </is>
      </c>
      <c r="D527" s="11" t="inlineStr">
        <is>
          <t>Chakaria GEN-A-1</t>
        </is>
      </c>
      <c r="E527" s="11" t="inlineStr">
        <is>
          <t>Mr. Mohammad Nazrul Islam</t>
        </is>
      </c>
      <c r="F527" s="10" t="n">
        <v>11055</v>
      </c>
      <c r="G527" s="11" t="inlineStr">
        <is>
          <t>Eidgaon-1</t>
        </is>
      </c>
      <c r="H527" s="10" t="n">
        <v>4156</v>
      </c>
      <c r="I527" s="11" t="inlineStr">
        <is>
          <t>Mr. Ariful Islam</t>
        </is>
      </c>
      <c r="J527" s="10">
        <f>IF(K527&gt;0, "Completed", "Pending")</f>
        <v/>
      </c>
      <c r="K527" s="10">
        <f>COUNTIF('Survey Responses'!F:F, F527)</f>
        <v/>
      </c>
    </row>
    <row r="528">
      <c r="A528" s="10" t="n">
        <v>527</v>
      </c>
      <c r="B528" s="11" t="inlineStr">
        <is>
          <t>Cox Bazar (GEN-A)</t>
        </is>
      </c>
      <c r="C528" s="11" t="inlineStr">
        <is>
          <t>Mr. Zakir Hossain</t>
        </is>
      </c>
      <c r="D528" s="11" t="inlineStr">
        <is>
          <t>Chakaria GEN-A-1</t>
        </is>
      </c>
      <c r="E528" s="11" t="inlineStr">
        <is>
          <t>Mr. Mohammad Nazrul Islam</t>
        </is>
      </c>
      <c r="F528" s="10" t="n">
        <v>12337</v>
      </c>
      <c r="G528" s="11" t="inlineStr">
        <is>
          <t>Eidgaon-2</t>
        </is>
      </c>
      <c r="H528" s="10" t="n">
        <v>967</v>
      </c>
      <c r="I528" s="11" t="inlineStr">
        <is>
          <t>Md. Abdul Mannaf</t>
        </is>
      </c>
      <c r="J528" s="10">
        <f>IF(K528&gt;0, "Completed", "Pending")</f>
        <v/>
      </c>
      <c r="K528" s="10">
        <f>COUNTIF('Survey Responses'!F:F, F528)</f>
        <v/>
      </c>
    </row>
    <row r="529">
      <c r="A529" s="10" t="n">
        <v>528</v>
      </c>
      <c r="B529" s="11" t="inlineStr">
        <is>
          <t>Cox Bazar (GEN-A)</t>
        </is>
      </c>
      <c r="C529" s="11" t="inlineStr">
        <is>
          <t>Mr. Zakir Hossain</t>
        </is>
      </c>
      <c r="D529" s="11" t="inlineStr">
        <is>
          <t>Chakaria GEN-A-1</t>
        </is>
      </c>
      <c r="E529" s="11" t="inlineStr">
        <is>
          <t>Mr. Mohammad Nazrul Islam</t>
        </is>
      </c>
      <c r="F529" s="10" t="n">
        <v>14565</v>
      </c>
      <c r="G529" s="11" t="inlineStr">
        <is>
          <t>Eidgaon-3</t>
        </is>
      </c>
      <c r="H529" s="10" t="n">
        <v>7667</v>
      </c>
      <c r="I529" s="11" t="inlineStr">
        <is>
          <t>Mr. Md. Azizar Rahman</t>
        </is>
      </c>
      <c r="J529" s="10">
        <f>IF(K529&gt;0, "Completed", "Pending")</f>
        <v/>
      </c>
      <c r="K529" s="10">
        <f>COUNTIF('Survey Responses'!F:F, F529)</f>
        <v/>
      </c>
    </row>
    <row r="530">
      <c r="A530" s="10" t="n">
        <v>529</v>
      </c>
      <c r="B530" s="11" t="inlineStr">
        <is>
          <t>Cox Bazar (GEN-A)</t>
        </is>
      </c>
      <c r="C530" s="11" t="inlineStr">
        <is>
          <t>Mr. Zakir Hossain</t>
        </is>
      </c>
      <c r="D530" s="11" t="inlineStr">
        <is>
          <t>Cox Bazar GEN-A-1</t>
        </is>
      </c>
      <c r="E530" s="11" t="inlineStr">
        <is>
          <t>Mr. Amir Sohel</t>
        </is>
      </c>
      <c r="F530" s="10" t="n">
        <v>11046</v>
      </c>
      <c r="G530" s="11" t="inlineStr">
        <is>
          <t>Coxs Bazar (Fuad Al Khateeb)-1</t>
        </is>
      </c>
      <c r="H530" s="10" t="n">
        <v>9098</v>
      </c>
      <c r="I530" s="11" t="inlineStr">
        <is>
          <t>Mr. Shahajahan Ali</t>
        </is>
      </c>
      <c r="J530" s="10">
        <f>IF(K530&gt;0, "Completed", "Pending")</f>
        <v/>
      </c>
      <c r="K530" s="10">
        <f>COUNTIF('Survey Responses'!F:F, F530)</f>
        <v/>
      </c>
    </row>
    <row r="531">
      <c r="A531" s="10" t="n">
        <v>530</v>
      </c>
      <c r="B531" s="11" t="inlineStr">
        <is>
          <t>Cox Bazar (GEN-A)</t>
        </is>
      </c>
      <c r="C531" s="11" t="inlineStr">
        <is>
          <t>Mr. Zakir Hossain</t>
        </is>
      </c>
      <c r="D531" s="11" t="inlineStr">
        <is>
          <t>Cox Bazar GEN-A-1</t>
        </is>
      </c>
      <c r="E531" s="11" t="inlineStr">
        <is>
          <t>Mr. Amir Sohel</t>
        </is>
      </c>
      <c r="F531" s="10" t="n">
        <v>13496</v>
      </c>
      <c r="G531" s="11" t="inlineStr">
        <is>
          <t>Coxs Bazar (Fuad Al Khateeb)-2</t>
        </is>
      </c>
      <c r="H531" s="10" t="n">
        <v>2299</v>
      </c>
      <c r="I531" s="11" t="inlineStr">
        <is>
          <t>Md. Shahin Alam</t>
        </is>
      </c>
      <c r="J531" s="10">
        <f>IF(K531&gt;0, "Completed", "Pending")</f>
        <v/>
      </c>
      <c r="K531" s="10">
        <f>COUNTIF('Survey Responses'!F:F, F531)</f>
        <v/>
      </c>
    </row>
    <row r="532">
      <c r="A532" s="10" t="n">
        <v>531</v>
      </c>
      <c r="B532" s="11" t="inlineStr">
        <is>
          <t>Cox Bazar (GEN-A)</t>
        </is>
      </c>
      <c r="C532" s="11" t="inlineStr">
        <is>
          <t>Mr. Zakir Hossain</t>
        </is>
      </c>
      <c r="D532" s="11" t="inlineStr">
        <is>
          <t>Cox Bazar GEN-A-1</t>
        </is>
      </c>
      <c r="E532" s="11" t="inlineStr">
        <is>
          <t>Mr. Amir Sohel</t>
        </is>
      </c>
      <c r="F532" s="10" t="n">
        <v>11047</v>
      </c>
      <c r="G532" s="11" t="inlineStr">
        <is>
          <t>Coxs Bazar (General Hosp)</t>
        </is>
      </c>
      <c r="H532" s="10" t="n">
        <v>2255</v>
      </c>
      <c r="I532" s="11" t="inlineStr">
        <is>
          <t>Sharif Uddin</t>
        </is>
      </c>
      <c r="J532" s="10">
        <f>IF(K532&gt;0, "Completed", "Pending")</f>
        <v/>
      </c>
      <c r="K532" s="10">
        <f>COUNTIF('Survey Responses'!F:F, F532)</f>
        <v/>
      </c>
    </row>
    <row r="533">
      <c r="A533" s="10" t="n">
        <v>532</v>
      </c>
      <c r="B533" s="11" t="inlineStr">
        <is>
          <t>Cox Bazar (GEN-A)</t>
        </is>
      </c>
      <c r="C533" s="11" t="inlineStr">
        <is>
          <t>Mr. Zakir Hossain</t>
        </is>
      </c>
      <c r="D533" s="11" t="inlineStr">
        <is>
          <t>Cox Bazar GEN-A-1</t>
        </is>
      </c>
      <c r="E533" s="11" t="inlineStr">
        <is>
          <t>Mr. Amir Sohel</t>
        </is>
      </c>
      <c r="F533" s="10" t="n">
        <v>11051</v>
      </c>
      <c r="G533" s="11" t="inlineStr">
        <is>
          <t>Coxs Bazar (Old Cevron)</t>
        </is>
      </c>
      <c r="H533" s="10" t="n">
        <v>1804</v>
      </c>
      <c r="I533" s="11" t="inlineStr">
        <is>
          <t>Md. Golam Rasul</t>
        </is>
      </c>
      <c r="J533" s="10">
        <f>IF(K533&gt;0, "Completed", "Pending")</f>
        <v/>
      </c>
      <c r="K533" s="10">
        <f>COUNTIF('Survey Responses'!F:F, F533)</f>
        <v/>
      </c>
    </row>
    <row r="534">
      <c r="A534" s="10" t="n">
        <v>533</v>
      </c>
      <c r="B534" s="11" t="inlineStr">
        <is>
          <t>Cox Bazar (GEN-A)</t>
        </is>
      </c>
      <c r="C534" s="11" t="inlineStr">
        <is>
          <t>Mr. Zakir Hossain</t>
        </is>
      </c>
      <c r="D534" s="11" t="inlineStr">
        <is>
          <t>Cox Bazar GEN-A-1</t>
        </is>
      </c>
      <c r="E534" s="11" t="inlineStr">
        <is>
          <t>Mr. Amir Sohel</t>
        </is>
      </c>
      <c r="F534" s="10" t="n">
        <v>12980</v>
      </c>
      <c r="G534" s="11" t="inlineStr">
        <is>
          <t>Coxs Bazar (Sea Side Hospital)</t>
        </is>
      </c>
      <c r="H534" s="10" t="n">
        <v>8312</v>
      </c>
      <c r="I534" s="11" t="inlineStr">
        <is>
          <t>Mr. Md. Suvo Ali</t>
        </is>
      </c>
      <c r="J534" s="10">
        <f>IF(K534&gt;0, "Completed", "Pending")</f>
        <v/>
      </c>
      <c r="K534" s="10">
        <f>COUNTIF('Survey Responses'!F:F, F534)</f>
        <v/>
      </c>
    </row>
    <row r="535">
      <c r="A535" s="10" t="n">
        <v>534</v>
      </c>
      <c r="B535" s="11" t="inlineStr">
        <is>
          <t>Cox Bazar (GEN-A)</t>
        </is>
      </c>
      <c r="C535" s="11" t="inlineStr">
        <is>
          <t>Mr. Zakir Hossain</t>
        </is>
      </c>
      <c r="D535" s="11" t="inlineStr">
        <is>
          <t>Cox Bazar GEN-A-1</t>
        </is>
      </c>
      <c r="E535" s="11" t="inlineStr">
        <is>
          <t>Mr. Amir Sohel</t>
        </is>
      </c>
      <c r="F535" s="10" t="n">
        <v>11054</v>
      </c>
      <c r="G535" s="11" t="inlineStr">
        <is>
          <t>Ramu-1</t>
        </is>
      </c>
      <c r="H535" s="10" t="n">
        <v>2841</v>
      </c>
      <c r="I535" s="11" t="inlineStr">
        <is>
          <t>Md. Saidur Jaman</t>
        </is>
      </c>
      <c r="J535" s="10">
        <f>IF(K535&gt;0, "Completed", "Pending")</f>
        <v/>
      </c>
      <c r="K535" s="10">
        <f>COUNTIF('Survey Responses'!F:F, F535)</f>
        <v/>
      </c>
    </row>
    <row r="536">
      <c r="A536" s="10" t="n">
        <v>535</v>
      </c>
      <c r="B536" s="11" t="inlineStr">
        <is>
          <t>Cox Bazar (GEN-A)</t>
        </is>
      </c>
      <c r="C536" s="11" t="inlineStr">
        <is>
          <t>Mr. Zakir Hossain</t>
        </is>
      </c>
      <c r="D536" s="11" t="inlineStr">
        <is>
          <t>Cox Bazar GEN-A-1</t>
        </is>
      </c>
      <c r="E536" s="11" t="inlineStr">
        <is>
          <t>Mr. Amir Sohel</t>
        </is>
      </c>
      <c r="F536" s="10" t="n">
        <v>12555</v>
      </c>
      <c r="G536" s="11" t="inlineStr">
        <is>
          <t>Ramu-2</t>
        </is>
      </c>
      <c r="H536" s="10" t="n">
        <v>7315</v>
      </c>
      <c r="I536" s="11" t="inlineStr">
        <is>
          <t>Mr. Md. Sabuj Hossain</t>
        </is>
      </c>
      <c r="J536" s="10">
        <f>IF(K536&gt;0, "Completed", "Pending")</f>
        <v/>
      </c>
      <c r="K536" s="10">
        <f>COUNTIF('Survey Responses'!F:F, F536)</f>
        <v/>
      </c>
    </row>
    <row r="537">
      <c r="A537" s="10" t="n">
        <v>536</v>
      </c>
      <c r="B537" s="11" t="inlineStr">
        <is>
          <t>Cox Bazar (GEN-A)</t>
        </is>
      </c>
      <c r="C537" s="11" t="inlineStr">
        <is>
          <t>Mr. Zakir Hossain</t>
        </is>
      </c>
      <c r="D537" s="11" t="inlineStr">
        <is>
          <t>Cox Bazar GEN-A-2</t>
        </is>
      </c>
      <c r="E537" s="11" t="inlineStr">
        <is>
          <t>Mr. Md. Mostafa Kamal</t>
        </is>
      </c>
      <c r="F537" s="10" t="n">
        <v>11052</v>
      </c>
      <c r="G537" s="11" t="inlineStr">
        <is>
          <t>Coxs Bazar (CIC)-1</t>
        </is>
      </c>
      <c r="H537" s="10" t="n">
        <v>3673</v>
      </c>
      <c r="I537" s="11" t="inlineStr">
        <is>
          <t>Mr. Md. Zahid Hasan</t>
        </is>
      </c>
      <c r="J537" s="10">
        <f>IF(K537&gt;0, "Completed", "Pending")</f>
        <v/>
      </c>
      <c r="K537" s="10">
        <f>COUNTIF('Survey Responses'!F:F, F537)</f>
        <v/>
      </c>
    </row>
    <row r="538">
      <c r="A538" s="10" t="n">
        <v>537</v>
      </c>
      <c r="B538" s="11" t="inlineStr">
        <is>
          <t>Cox Bazar (GEN-A)</t>
        </is>
      </c>
      <c r="C538" s="11" t="inlineStr">
        <is>
          <t>Mr. Zakir Hossain</t>
        </is>
      </c>
      <c r="D538" s="11" t="inlineStr">
        <is>
          <t>Cox Bazar GEN-A-2</t>
        </is>
      </c>
      <c r="E538" s="11" t="inlineStr">
        <is>
          <t>Mr. Md. Mostafa Kamal</t>
        </is>
      </c>
      <c r="F538" s="10" t="n">
        <v>11058</v>
      </c>
      <c r="G538" s="11" t="inlineStr">
        <is>
          <t>Coxs Bazar (Digital Hosp )</t>
        </is>
      </c>
      <c r="H538" s="10" t="n">
        <v>8802</v>
      </c>
      <c r="I538" s="11" t="inlineStr">
        <is>
          <t>Mr. Omar Faruk</t>
        </is>
      </c>
      <c r="J538" s="10">
        <f>IF(K538&gt;0, "Completed", "Pending")</f>
        <v/>
      </c>
      <c r="K538" s="10">
        <f>COUNTIF('Survey Responses'!F:F, F538)</f>
        <v/>
      </c>
    </row>
    <row r="539">
      <c r="A539" s="10" t="n">
        <v>538</v>
      </c>
      <c r="B539" s="11" t="inlineStr">
        <is>
          <t>Cox Bazar (GEN-A)</t>
        </is>
      </c>
      <c r="C539" s="11" t="inlineStr">
        <is>
          <t>Mr. Zakir Hossain</t>
        </is>
      </c>
      <c r="D539" s="11" t="inlineStr">
        <is>
          <t>Cox Bazar GEN-A-2</t>
        </is>
      </c>
      <c r="E539" s="11" t="inlineStr">
        <is>
          <t>Mr. Md. Mostafa Kamal</t>
        </is>
      </c>
      <c r="F539" s="10" t="n">
        <v>11053</v>
      </c>
      <c r="G539" s="11" t="inlineStr">
        <is>
          <t>Coxs Bazar (Pan Bazar)</t>
        </is>
      </c>
      <c r="H539" s="10" t="n">
        <v>1291</v>
      </c>
      <c r="I539" s="11" t="inlineStr">
        <is>
          <t>Md. Rubel Hossain</t>
        </is>
      </c>
      <c r="J539" s="10">
        <f>IF(K539&gt;0, "Completed", "Pending")</f>
        <v/>
      </c>
      <c r="K539" s="10">
        <f>COUNTIF('Survey Responses'!F:F, F539)</f>
        <v/>
      </c>
    </row>
    <row r="540">
      <c r="A540" s="10" t="n">
        <v>539</v>
      </c>
      <c r="B540" s="11" t="inlineStr">
        <is>
          <t>Cox Bazar (GEN-A)</t>
        </is>
      </c>
      <c r="C540" s="11" t="inlineStr">
        <is>
          <t>Mr. Zakir Hossain</t>
        </is>
      </c>
      <c r="D540" s="11" t="inlineStr">
        <is>
          <t>Cox Bazar GEN-A-2</t>
        </is>
      </c>
      <c r="E540" s="11" t="inlineStr">
        <is>
          <t>Mr. Md. Mostafa Kamal</t>
        </is>
      </c>
      <c r="F540" s="10" t="n">
        <v>12406</v>
      </c>
      <c r="G540" s="11" t="inlineStr">
        <is>
          <t>Coxs Bazar (Sadar Hospital)</t>
        </is>
      </c>
      <c r="H540" s="10" t="n">
        <v>7581</v>
      </c>
      <c r="I540" s="11" t="inlineStr">
        <is>
          <t>Mr. Md. Hafizur Rahman</t>
        </is>
      </c>
      <c r="J540" s="10">
        <f>IF(K540&gt;0, "Completed", "Pending")</f>
        <v/>
      </c>
      <c r="K540" s="10">
        <f>COUNTIF('Survey Responses'!F:F, F540)</f>
        <v/>
      </c>
    </row>
    <row r="541">
      <c r="A541" s="10" t="n">
        <v>540</v>
      </c>
      <c r="B541" s="11" t="inlineStr">
        <is>
          <t>Cox Bazar (GEN-A)</t>
        </is>
      </c>
      <c r="C541" s="11" t="inlineStr">
        <is>
          <t>Mr. Zakir Hossain</t>
        </is>
      </c>
      <c r="D541" s="11" t="inlineStr">
        <is>
          <t>Cox Bazar GEN-A-2</t>
        </is>
      </c>
      <c r="E541" s="11" t="inlineStr">
        <is>
          <t>Mr. Md. Mostafa Kamal</t>
        </is>
      </c>
      <c r="F541" s="10" t="n">
        <v>13092</v>
      </c>
      <c r="G541" s="11" t="inlineStr">
        <is>
          <t>Coxs Bazar (Union Hospital)</t>
        </is>
      </c>
      <c r="H541" s="10" t="n">
        <v>5470</v>
      </c>
      <c r="I541" s="11" t="inlineStr">
        <is>
          <t>Mr. Md. Ebrahim Khalil</t>
        </is>
      </c>
      <c r="J541" s="10">
        <f>IF(K541&gt;0, "Completed", "Pending")</f>
        <v/>
      </c>
      <c r="K541" s="10">
        <f>COUNTIF('Survey Responses'!F:F, F541)</f>
        <v/>
      </c>
    </row>
    <row r="542">
      <c r="A542" s="10" t="n">
        <v>541</v>
      </c>
      <c r="B542" s="11" t="inlineStr">
        <is>
          <t>Cox Bazar (GEN-A)</t>
        </is>
      </c>
      <c r="C542" s="11" t="inlineStr">
        <is>
          <t>Mr. Zakir Hossain</t>
        </is>
      </c>
      <c r="D542" s="11" t="inlineStr">
        <is>
          <t>Cox Bazar GEN-A-2</t>
        </is>
      </c>
      <c r="E542" s="11" t="inlineStr">
        <is>
          <t>Mr. Md. Mostafa Kamal</t>
        </is>
      </c>
      <c r="F542" s="10" t="n">
        <v>14701</v>
      </c>
      <c r="G542" s="11" t="inlineStr">
        <is>
          <t xml:space="preserve">Lama-1 </t>
        </is>
      </c>
      <c r="H542" s="10" t="n">
        <v>2281</v>
      </c>
      <c r="I542" s="11" t="inlineStr">
        <is>
          <t>Md. Ariful Islam</t>
        </is>
      </c>
      <c r="J542" s="10">
        <f>IF(K542&gt;0, "Completed", "Pending")</f>
        <v/>
      </c>
      <c r="K542" s="10">
        <f>COUNTIF('Survey Responses'!F:F, F542)</f>
        <v/>
      </c>
    </row>
    <row r="543">
      <c r="A543" s="10" t="n">
        <v>542</v>
      </c>
      <c r="B543" s="11" t="inlineStr">
        <is>
          <t>Cox Bazar (GEN-A)</t>
        </is>
      </c>
      <c r="C543" s="11" t="inlineStr">
        <is>
          <t>Mr. Zakir Hossain</t>
        </is>
      </c>
      <c r="D543" s="11" t="inlineStr">
        <is>
          <t>Cox Bazar GEN-A-2</t>
        </is>
      </c>
      <c r="E543" s="11" t="inlineStr">
        <is>
          <t>Mr. Md. Mostafa Kamal</t>
        </is>
      </c>
      <c r="F543" s="10" t="n">
        <v>14564</v>
      </c>
      <c r="G543" s="11" t="inlineStr">
        <is>
          <t>Link Road-Bangla Bazar</t>
        </is>
      </c>
      <c r="H543" s="10" t="n">
        <v>1382</v>
      </c>
      <c r="I543" s="11" t="inlineStr">
        <is>
          <t>Bikash Kumar Barman</t>
        </is>
      </c>
      <c r="J543" s="10">
        <f>IF(K543&gt;0, "Completed", "Pending")</f>
        <v/>
      </c>
      <c r="K543" s="10">
        <f>COUNTIF('Survey Responses'!F:F, F543)</f>
        <v/>
      </c>
    </row>
    <row r="544">
      <c r="A544" s="10" t="n">
        <v>543</v>
      </c>
      <c r="B544" s="11" t="inlineStr">
        <is>
          <t>Cox Bazar (GEN-A)</t>
        </is>
      </c>
      <c r="C544" s="11" t="inlineStr">
        <is>
          <t>Mr. Zakir Hossain</t>
        </is>
      </c>
      <c r="D544" s="11" t="inlineStr">
        <is>
          <t>Keranirhat GEN-A-1</t>
        </is>
      </c>
      <c r="E544" s="11" t="inlineStr">
        <is>
          <t>Mr. Sukrithi Rudra</t>
        </is>
      </c>
      <c r="F544" s="10" t="n">
        <v>11061</v>
      </c>
      <c r="G544" s="11" t="inlineStr">
        <is>
          <t>Bandarban-1</t>
        </is>
      </c>
      <c r="H544" s="10" t="n">
        <v>1895</v>
      </c>
      <c r="I544" s="11" t="inlineStr">
        <is>
          <t>Mizanur Rahman Samim</t>
        </is>
      </c>
      <c r="J544" s="10">
        <f>IF(K544&gt;0, "Completed", "Pending")</f>
        <v/>
      </c>
      <c r="K544" s="10">
        <f>COUNTIF('Survey Responses'!F:F, F544)</f>
        <v/>
      </c>
    </row>
    <row r="545">
      <c r="A545" s="10" t="n">
        <v>544</v>
      </c>
      <c r="B545" s="11" t="inlineStr">
        <is>
          <t>Cox Bazar (GEN-A)</t>
        </is>
      </c>
      <c r="C545" s="11" t="inlineStr">
        <is>
          <t>Mr. Zakir Hossain</t>
        </is>
      </c>
      <c r="D545" s="11" t="inlineStr">
        <is>
          <t>Keranirhat GEN-A-1</t>
        </is>
      </c>
      <c r="E545" s="11" t="inlineStr">
        <is>
          <t>Mr. Sukrithi Rudra</t>
        </is>
      </c>
      <c r="F545" s="10" t="n">
        <v>13029</v>
      </c>
      <c r="G545" s="11" t="inlineStr">
        <is>
          <t>Bandarban-2</t>
        </is>
      </c>
      <c r="H545" s="10" t="n">
        <v>5803</v>
      </c>
      <c r="I545" s="11" t="inlineStr">
        <is>
          <t>Mr. Md. Tareq Ahamed Khandaker</t>
        </is>
      </c>
      <c r="J545" s="10">
        <f>IF(K545&gt;0, "Completed", "Pending")</f>
        <v/>
      </c>
      <c r="K545" s="10">
        <f>COUNTIF('Survey Responses'!F:F, F545)</f>
        <v/>
      </c>
    </row>
    <row r="546">
      <c r="A546" s="10" t="n">
        <v>545</v>
      </c>
      <c r="B546" s="11" t="inlineStr">
        <is>
          <t>Cox Bazar (GEN-A)</t>
        </is>
      </c>
      <c r="C546" s="11" t="inlineStr">
        <is>
          <t>Mr. Zakir Hossain</t>
        </is>
      </c>
      <c r="D546" s="11" t="inlineStr">
        <is>
          <t>Keranirhat GEN-A-1</t>
        </is>
      </c>
      <c r="E546" s="11" t="inlineStr">
        <is>
          <t>Mr. Sukrithi Rudra</t>
        </is>
      </c>
      <c r="F546" s="10" t="n">
        <v>11059</v>
      </c>
      <c r="G546" s="11" t="inlineStr">
        <is>
          <t>Keranihat-1</t>
        </is>
      </c>
      <c r="H546" s="10" t="n">
        <v>7415</v>
      </c>
      <c r="I546" s="11" t="inlineStr">
        <is>
          <t>Mr. Md. Faruque Dhali</t>
        </is>
      </c>
      <c r="J546" s="10">
        <f>IF(K546&gt;0, "Completed", "Pending")</f>
        <v/>
      </c>
      <c r="K546" s="10">
        <f>COUNTIF('Survey Responses'!F:F, F546)</f>
        <v/>
      </c>
    </row>
    <row r="547">
      <c r="A547" s="10" t="n">
        <v>546</v>
      </c>
      <c r="B547" s="11" t="inlineStr">
        <is>
          <t>Cox Bazar (GEN-A)</t>
        </is>
      </c>
      <c r="C547" s="11" t="inlineStr">
        <is>
          <t>Mr. Zakir Hossain</t>
        </is>
      </c>
      <c r="D547" s="11" t="inlineStr">
        <is>
          <t>Keranirhat GEN-A-1</t>
        </is>
      </c>
      <c r="E547" s="11" t="inlineStr">
        <is>
          <t>Mr. Sukrithi Rudra</t>
        </is>
      </c>
      <c r="F547" s="10" t="n">
        <v>11060</v>
      </c>
      <c r="G547" s="11" t="inlineStr">
        <is>
          <t>Keranihat-2</t>
        </is>
      </c>
      <c r="H547" s="10" t="n">
        <v>6556</v>
      </c>
      <c r="I547" s="11" t="inlineStr">
        <is>
          <t>Mr. Md. Emadul Islam Rabbi</t>
        </is>
      </c>
      <c r="J547" s="10">
        <f>IF(K547&gt;0, "Completed", "Pending")</f>
        <v/>
      </c>
      <c r="K547" s="10">
        <f>COUNTIF('Survey Responses'!F:F, F547)</f>
        <v/>
      </c>
    </row>
    <row r="548">
      <c r="A548" s="10" t="n">
        <v>547</v>
      </c>
      <c r="B548" s="11" t="inlineStr">
        <is>
          <t>Cox Bazar (GEN-A)</t>
        </is>
      </c>
      <c r="C548" s="11" t="inlineStr">
        <is>
          <t>Mr. Zakir Hossain</t>
        </is>
      </c>
      <c r="D548" s="11" t="inlineStr">
        <is>
          <t>Keranirhat GEN-A-1</t>
        </is>
      </c>
      <c r="E548" s="11" t="inlineStr">
        <is>
          <t>Mr. Sukrithi Rudra</t>
        </is>
      </c>
      <c r="F548" s="10" t="n">
        <v>12600</v>
      </c>
      <c r="G548" s="11" t="inlineStr">
        <is>
          <t>Keranihat-3</t>
        </is>
      </c>
      <c r="H548" s="10" t="n">
        <v>7726</v>
      </c>
      <c r="I548" s="11" t="inlineStr">
        <is>
          <t>Mr. Zafar Iqbal</t>
        </is>
      </c>
      <c r="J548" s="10">
        <f>IF(K548&gt;0, "Completed", "Pending")</f>
        <v/>
      </c>
      <c r="K548" s="10">
        <f>COUNTIF('Survey Responses'!F:F, F548)</f>
        <v/>
      </c>
    </row>
    <row r="549">
      <c r="A549" s="10" t="n">
        <v>548</v>
      </c>
      <c r="B549" s="11" t="inlineStr">
        <is>
          <t>Cox Bazar (GEN-A)</t>
        </is>
      </c>
      <c r="C549" s="11" t="inlineStr">
        <is>
          <t>Mr. Zakir Hossain</t>
        </is>
      </c>
      <c r="D549" s="11" t="inlineStr">
        <is>
          <t>Keranirhat GEN-A-1</t>
        </is>
      </c>
      <c r="E549" s="11" t="inlineStr">
        <is>
          <t>Mr. Sukrithi Rudra</t>
        </is>
      </c>
      <c r="F549" s="10" t="n">
        <v>14651</v>
      </c>
      <c r="G549" s="11" t="inlineStr">
        <is>
          <t>Keranihat-4</t>
        </is>
      </c>
      <c r="H549" s="10" t="n">
        <v>8313</v>
      </c>
      <c r="I549" s="11" t="inlineStr">
        <is>
          <t>Mr. Sanuar Hossain</t>
        </is>
      </c>
      <c r="J549" s="10">
        <f>IF(K549&gt;0, "Completed", "Pending")</f>
        <v/>
      </c>
      <c r="K549" s="10">
        <f>COUNTIF('Survey Responses'!F:F, F549)</f>
        <v/>
      </c>
    </row>
    <row r="550">
      <c r="A550" s="10" t="n">
        <v>549</v>
      </c>
      <c r="B550" s="11" t="inlineStr">
        <is>
          <t>Cox Bazar (GEN-A)</t>
        </is>
      </c>
      <c r="C550" s="11" t="inlineStr">
        <is>
          <t>Mr. Zakir Hossain</t>
        </is>
      </c>
      <c r="D550" s="11" t="inlineStr">
        <is>
          <t>Keranirhat GEN-A-1</t>
        </is>
      </c>
      <c r="E550" s="11" t="inlineStr">
        <is>
          <t>Mr. Sukrithi Rudra</t>
        </is>
      </c>
      <c r="F550" s="10" t="n">
        <v>11066</v>
      </c>
      <c r="G550" s="11" t="inlineStr">
        <is>
          <t>Satkania-1</t>
        </is>
      </c>
      <c r="H550" s="10" t="n">
        <v>1475</v>
      </c>
      <c r="I550" s="11" t="inlineStr">
        <is>
          <t>Md. Golam Mostafa</t>
        </is>
      </c>
      <c r="J550" s="10">
        <f>IF(K550&gt;0, "Completed", "Pending")</f>
        <v/>
      </c>
      <c r="K550" s="10">
        <f>COUNTIF('Survey Responses'!F:F, F550)</f>
        <v/>
      </c>
    </row>
    <row r="551">
      <c r="A551" s="10" t="n">
        <v>550</v>
      </c>
      <c r="B551" s="11" t="inlineStr">
        <is>
          <t>Cox Bazar (GEN-A)</t>
        </is>
      </c>
      <c r="C551" s="11" t="inlineStr">
        <is>
          <t>Mr. Zakir Hossain</t>
        </is>
      </c>
      <c r="D551" s="11" t="inlineStr">
        <is>
          <t>Keranirhat GEN-A-1</t>
        </is>
      </c>
      <c r="E551" s="11" t="inlineStr">
        <is>
          <t>Mr. Sukrithi Rudra</t>
        </is>
      </c>
      <c r="F551" s="10" t="n">
        <v>11067</v>
      </c>
      <c r="G551" s="11" t="inlineStr">
        <is>
          <t>Satkania-2</t>
        </is>
      </c>
      <c r="H551" s="10" t="n">
        <v>1607</v>
      </c>
      <c r="I551" s="11" t="inlineStr">
        <is>
          <t>Pabitra Kumar Sarker</t>
        </is>
      </c>
      <c r="J551" s="10">
        <f>IF(K551&gt;0, "Completed", "Pending")</f>
        <v/>
      </c>
      <c r="K551" s="10">
        <f>COUNTIF('Survey Responses'!F:F, F551)</f>
        <v/>
      </c>
    </row>
    <row r="552">
      <c r="A552" s="10" t="n">
        <v>551</v>
      </c>
      <c r="B552" s="11" t="inlineStr">
        <is>
          <t>Cox Bazar (GEN-A)</t>
        </is>
      </c>
      <c r="C552" s="11" t="inlineStr">
        <is>
          <t>Mr. Zakir Hossain</t>
        </is>
      </c>
      <c r="D552" s="11" t="inlineStr">
        <is>
          <t>Keranirhat GEN-A-1</t>
        </is>
      </c>
      <c r="E552" s="11" t="inlineStr">
        <is>
          <t>Mr. Sukrithi Rudra</t>
        </is>
      </c>
      <c r="F552" s="10" t="n">
        <v>13263</v>
      </c>
      <c r="G552" s="11" t="inlineStr">
        <is>
          <t>Satkania-3</t>
        </is>
      </c>
      <c r="H552" s="10" t="n">
        <v>3157</v>
      </c>
      <c r="I552" s="11" t="inlineStr">
        <is>
          <t>Mr. Sagar Sutradhar</t>
        </is>
      </c>
      <c r="J552" s="10">
        <f>IF(K552&gt;0, "Completed", "Pending")</f>
        <v/>
      </c>
      <c r="K552" s="10">
        <f>COUNTIF('Survey Responses'!F:F, F552)</f>
        <v/>
      </c>
    </row>
    <row r="553">
      <c r="A553" s="10" t="n">
        <v>552</v>
      </c>
      <c r="B553" s="11" t="inlineStr">
        <is>
          <t>Cox Bazar (GEN-A)</t>
        </is>
      </c>
      <c r="C553" s="11" t="inlineStr">
        <is>
          <t>Mr. Zakir Hossain</t>
        </is>
      </c>
      <c r="D553" s="11" t="inlineStr">
        <is>
          <t>Moheshkhali GEN-A-1</t>
        </is>
      </c>
      <c r="E553" s="11" t="inlineStr">
        <is>
          <t>Md. Wasim Rahman</t>
        </is>
      </c>
      <c r="F553" s="10" t="n">
        <v>11042</v>
      </c>
      <c r="G553" s="11" t="inlineStr">
        <is>
          <t>Kutubdia-1</t>
        </is>
      </c>
      <c r="H553" s="10" t="n">
        <v>1300</v>
      </c>
      <c r="I553" s="11" t="inlineStr">
        <is>
          <t>Md. Uzir Ali</t>
        </is>
      </c>
      <c r="J553" s="10">
        <f>IF(K553&gt;0, "Completed", "Pending")</f>
        <v/>
      </c>
      <c r="K553" s="10">
        <f>COUNTIF('Survey Responses'!F:F, F553)</f>
        <v/>
      </c>
    </row>
    <row r="554">
      <c r="A554" s="10" t="n">
        <v>553</v>
      </c>
      <c r="B554" s="11" t="inlineStr">
        <is>
          <t>Cox Bazar (GEN-A)</t>
        </is>
      </c>
      <c r="C554" s="11" t="inlineStr">
        <is>
          <t>Mr. Zakir Hossain</t>
        </is>
      </c>
      <c r="D554" s="11" t="inlineStr">
        <is>
          <t>Moheshkhali GEN-A-1</t>
        </is>
      </c>
      <c r="E554" s="11" t="inlineStr">
        <is>
          <t>Md. Wasim Rahman</t>
        </is>
      </c>
      <c r="F554" s="10" t="n">
        <v>13033</v>
      </c>
      <c r="G554" s="11" t="inlineStr">
        <is>
          <t>Kutubdia-2</t>
        </is>
      </c>
      <c r="H554" s="10" t="n">
        <v>5678</v>
      </c>
      <c r="I554" s="11" t="inlineStr">
        <is>
          <t>Mr. Muhammad Moinul Hasan</t>
        </is>
      </c>
      <c r="J554" s="10">
        <f>IF(K554&gt;0, "Completed", "Pending")</f>
        <v/>
      </c>
      <c r="K554" s="10">
        <f>COUNTIF('Survey Responses'!F:F, F554)</f>
        <v/>
      </c>
    </row>
    <row r="555">
      <c r="A555" s="10" t="n">
        <v>554</v>
      </c>
      <c r="B555" s="11" t="inlineStr">
        <is>
          <t>Cox Bazar (GEN-A)</t>
        </is>
      </c>
      <c r="C555" s="11" t="inlineStr">
        <is>
          <t>Mr. Zakir Hossain</t>
        </is>
      </c>
      <c r="D555" s="11" t="inlineStr">
        <is>
          <t>Moheshkhali GEN-A-1</t>
        </is>
      </c>
      <c r="E555" s="11" t="inlineStr">
        <is>
          <t>Md. Wasim Rahman</t>
        </is>
      </c>
      <c r="F555" s="10" t="n">
        <v>14655</v>
      </c>
      <c r="G555" s="11" t="inlineStr">
        <is>
          <t>Matarbari-1</t>
        </is>
      </c>
      <c r="H555" s="10" t="n">
        <v>964</v>
      </c>
      <c r="I555" s="11" t="inlineStr">
        <is>
          <t xml:space="preserve">Md. Abdul Alim  </t>
        </is>
      </c>
      <c r="J555" s="10">
        <f>IF(K555&gt;0, "Completed", "Pending")</f>
        <v/>
      </c>
      <c r="K555" s="10">
        <f>COUNTIF('Survey Responses'!F:F, F555)</f>
        <v/>
      </c>
    </row>
    <row r="556">
      <c r="A556" s="10" t="n">
        <v>555</v>
      </c>
      <c r="B556" s="11" t="inlineStr">
        <is>
          <t>Cox Bazar (GEN-A)</t>
        </is>
      </c>
      <c r="C556" s="11" t="inlineStr">
        <is>
          <t>Mr. Zakir Hossain</t>
        </is>
      </c>
      <c r="D556" s="11" t="inlineStr">
        <is>
          <t>Moheshkhali GEN-A-1</t>
        </is>
      </c>
      <c r="E556" s="11" t="inlineStr">
        <is>
          <t>Md. Wasim Rahman</t>
        </is>
      </c>
      <c r="F556" s="10" t="n">
        <v>11056</v>
      </c>
      <c r="G556" s="11" t="inlineStr">
        <is>
          <t>Moheshkhali-1</t>
        </is>
      </c>
      <c r="H556" s="10" t="n">
        <v>1620</v>
      </c>
      <c r="I556" s="11" t="inlineStr">
        <is>
          <t>Md. Enamul Haque</t>
        </is>
      </c>
      <c r="J556" s="10">
        <f>IF(K556&gt;0, "Completed", "Pending")</f>
        <v/>
      </c>
      <c r="K556" s="10">
        <f>COUNTIF('Survey Responses'!F:F, F556)</f>
        <v/>
      </c>
    </row>
    <row r="557">
      <c r="A557" s="10" t="n">
        <v>556</v>
      </c>
      <c r="B557" s="11" t="inlineStr">
        <is>
          <t>Cox Bazar (GEN-A)</t>
        </is>
      </c>
      <c r="C557" s="11" t="inlineStr">
        <is>
          <t>Mr. Zakir Hossain</t>
        </is>
      </c>
      <c r="D557" s="11" t="inlineStr">
        <is>
          <t>Moheshkhali GEN-A-1</t>
        </is>
      </c>
      <c r="E557" s="11" t="inlineStr">
        <is>
          <t>Md. Wasim Rahman</t>
        </is>
      </c>
      <c r="F557" s="10" t="n">
        <v>11057</v>
      </c>
      <c r="G557" s="11" t="inlineStr">
        <is>
          <t>Moheshkhali-2</t>
        </is>
      </c>
      <c r="H557" s="10" t="n">
        <v>1694</v>
      </c>
      <c r="I557" s="11" t="inlineStr">
        <is>
          <t>Wahiduzzaman</t>
        </is>
      </c>
      <c r="J557" s="10">
        <f>IF(K557&gt;0, "Completed", "Pending")</f>
        <v/>
      </c>
      <c r="K557" s="10">
        <f>COUNTIF('Survey Responses'!F:F, F557)</f>
        <v/>
      </c>
    </row>
    <row r="558">
      <c r="A558" s="10" t="n">
        <v>557</v>
      </c>
      <c r="B558" s="11" t="inlineStr">
        <is>
          <t>Cox Bazar (GEN-A)</t>
        </is>
      </c>
      <c r="C558" s="11" t="inlineStr">
        <is>
          <t>Mr. Zakir Hossain</t>
        </is>
      </c>
      <c r="D558" s="11" t="inlineStr">
        <is>
          <t>Moheshkhali GEN-A-1</t>
        </is>
      </c>
      <c r="E558" s="11" t="inlineStr">
        <is>
          <t>Md. Wasim Rahman</t>
        </is>
      </c>
      <c r="F558" s="10" t="n">
        <v>14001</v>
      </c>
      <c r="G558" s="11" t="inlineStr">
        <is>
          <t>Moheshkhali-3</t>
        </is>
      </c>
      <c r="H558" s="10" t="n">
        <v>3598</v>
      </c>
      <c r="I558" s="11" t="inlineStr">
        <is>
          <t>Mr. Md. Aminur Islam</t>
        </is>
      </c>
      <c r="J558" s="10">
        <f>IF(K558&gt;0, "Completed", "Pending")</f>
        <v/>
      </c>
      <c r="K558" s="10">
        <f>COUNTIF('Survey Responses'!F:F, F558)</f>
        <v/>
      </c>
    </row>
    <row r="559">
      <c r="A559" s="10" t="n">
        <v>558</v>
      </c>
      <c r="B559" s="11" t="inlineStr">
        <is>
          <t>Cox Bazar (GEN-A)</t>
        </is>
      </c>
      <c r="C559" s="11" t="inlineStr">
        <is>
          <t>Mr. Zakir Hossain</t>
        </is>
      </c>
      <c r="D559" s="11" t="inlineStr">
        <is>
          <t>Moheshkhali GEN-A-1</t>
        </is>
      </c>
      <c r="E559" s="11" t="inlineStr">
        <is>
          <t>Md. Wasim Rahman</t>
        </is>
      </c>
      <c r="F559" s="10" t="n">
        <v>11041</v>
      </c>
      <c r="G559" s="11" t="inlineStr">
        <is>
          <t>Pekuya-1</t>
        </is>
      </c>
      <c r="H559" s="10" t="n">
        <v>9071</v>
      </c>
      <c r="I559" s="11" t="inlineStr">
        <is>
          <t>Mr. Md. Rakibul Islam</t>
        </is>
      </c>
      <c r="J559" s="10">
        <f>IF(K559&gt;0, "Completed", "Pending")</f>
        <v/>
      </c>
      <c r="K559" s="10">
        <f>COUNTIF('Survey Responses'!F:F, F559)</f>
        <v/>
      </c>
    </row>
    <row r="560">
      <c r="A560" s="10" t="n">
        <v>559</v>
      </c>
      <c r="B560" s="11" t="inlineStr">
        <is>
          <t>Cox Bazar (GEN-A)</t>
        </is>
      </c>
      <c r="C560" s="11" t="inlineStr">
        <is>
          <t>Mr. Zakir Hossain</t>
        </is>
      </c>
      <c r="D560" s="11" t="inlineStr">
        <is>
          <t>Moheshkhali GEN-A-1</t>
        </is>
      </c>
      <c r="E560" s="11" t="inlineStr">
        <is>
          <t>Md. Wasim Rahman</t>
        </is>
      </c>
      <c r="F560" s="10" t="n">
        <v>12556</v>
      </c>
      <c r="G560" s="11" t="inlineStr">
        <is>
          <t>Pekuya-2</t>
        </is>
      </c>
      <c r="H560" s="10" t="n">
        <v>7061</v>
      </c>
      <c r="I560" s="11" t="inlineStr">
        <is>
          <t>Mr. Shamiur Rahman</t>
        </is>
      </c>
      <c r="J560" s="10">
        <f>IF(K560&gt;0, "Completed", "Pending")</f>
        <v/>
      </c>
      <c r="K560" s="10">
        <f>COUNTIF('Survey Responses'!F:F, F560)</f>
        <v/>
      </c>
    </row>
    <row r="561">
      <c r="A561" s="10" t="n">
        <v>560</v>
      </c>
      <c r="B561" s="11" t="inlineStr">
        <is>
          <t>Cox Bazar (GEN-A)</t>
        </is>
      </c>
      <c r="C561" s="11" t="inlineStr">
        <is>
          <t>Mr. Zakir Hossain</t>
        </is>
      </c>
      <c r="D561" s="11" t="inlineStr">
        <is>
          <t>Ukhia GEN-A-1</t>
        </is>
      </c>
      <c r="E561" s="11" t="inlineStr">
        <is>
          <t>Md. Ruhul Amin</t>
        </is>
      </c>
      <c r="F561" s="10" t="n">
        <v>13309</v>
      </c>
      <c r="G561" s="11" t="inlineStr">
        <is>
          <t>Hnilla-Teknaf</t>
        </is>
      </c>
      <c r="H561" s="10" t="n">
        <v>5920</v>
      </c>
      <c r="I561" s="11" t="inlineStr">
        <is>
          <t>Mr. Md. Inzamul Hasan</t>
        </is>
      </c>
      <c r="J561" s="10">
        <f>IF(K561&gt;0, "Completed", "Pending")</f>
        <v/>
      </c>
      <c r="K561" s="10">
        <f>COUNTIF('Survey Responses'!F:F, F561)</f>
        <v/>
      </c>
    </row>
    <row r="562">
      <c r="A562" s="10" t="n">
        <v>561</v>
      </c>
      <c r="B562" s="11" t="inlineStr">
        <is>
          <t>Cox Bazar (GEN-A)</t>
        </is>
      </c>
      <c r="C562" s="11" t="inlineStr">
        <is>
          <t>Mr. Zakir Hossain</t>
        </is>
      </c>
      <c r="D562" s="11" t="inlineStr">
        <is>
          <t>Ukhia GEN-A-1</t>
        </is>
      </c>
      <c r="E562" s="11" t="inlineStr">
        <is>
          <t>Md. Ruhul Amin</t>
        </is>
      </c>
      <c r="F562" s="10" t="n">
        <v>14833</v>
      </c>
      <c r="G562" s="11" t="inlineStr">
        <is>
          <t>Kutupalong -2</t>
        </is>
      </c>
      <c r="H562" s="10" t="n">
        <v>8838</v>
      </c>
      <c r="I562" s="11" t="inlineStr">
        <is>
          <t>Mr. Md. Hajikul Islam</t>
        </is>
      </c>
      <c r="J562" s="10">
        <f>IF(K562&gt;0, "Completed", "Pending")</f>
        <v/>
      </c>
      <c r="K562" s="10">
        <f>COUNTIF('Survey Responses'!F:F, F562)</f>
        <v/>
      </c>
    </row>
    <row r="563">
      <c r="A563" s="10" t="n">
        <v>562</v>
      </c>
      <c r="B563" s="11" t="inlineStr">
        <is>
          <t>Cox Bazar (GEN-A)</t>
        </is>
      </c>
      <c r="C563" s="11" t="inlineStr">
        <is>
          <t>Mr. Zakir Hossain</t>
        </is>
      </c>
      <c r="D563" s="11" t="inlineStr">
        <is>
          <t>Ukhia GEN-A-1</t>
        </is>
      </c>
      <c r="E563" s="11" t="inlineStr">
        <is>
          <t>Md. Ruhul Amin</t>
        </is>
      </c>
      <c r="F563" s="10" t="n">
        <v>11048</v>
      </c>
      <c r="G563" s="11" t="inlineStr">
        <is>
          <t>Kutupalong-1</t>
        </is>
      </c>
      <c r="H563" s="10" t="n">
        <v>2135</v>
      </c>
      <c r="I563" s="11" t="inlineStr">
        <is>
          <t>Md. Shahadat Hossen</t>
        </is>
      </c>
      <c r="J563" s="10">
        <f>IF(K563&gt;0, "Completed", "Pending")</f>
        <v/>
      </c>
      <c r="K563" s="10">
        <f>COUNTIF('Survey Responses'!F:F, F563)</f>
        <v/>
      </c>
    </row>
    <row r="564">
      <c r="A564" s="10" t="n">
        <v>563</v>
      </c>
      <c r="B564" s="11" t="inlineStr">
        <is>
          <t>Cox Bazar (GEN-A)</t>
        </is>
      </c>
      <c r="C564" s="11" t="inlineStr">
        <is>
          <t>Mr. Zakir Hossain</t>
        </is>
      </c>
      <c r="D564" s="11" t="inlineStr">
        <is>
          <t>Ukhia GEN-A-1</t>
        </is>
      </c>
      <c r="E564" s="11" t="inlineStr">
        <is>
          <t>Md. Ruhul Amin</t>
        </is>
      </c>
      <c r="F564" s="10" t="n">
        <v>11049</v>
      </c>
      <c r="G564" s="11" t="inlineStr">
        <is>
          <t>Teknaf-1</t>
        </is>
      </c>
      <c r="H564" s="10" t="n">
        <v>1962</v>
      </c>
      <c r="I564" s="11" t="inlineStr">
        <is>
          <t>Nityanando Kumar Khan</t>
        </is>
      </c>
      <c r="J564" s="10">
        <f>IF(K564&gt;0, "Completed", "Pending")</f>
        <v/>
      </c>
      <c r="K564" s="10">
        <f>COUNTIF('Survey Responses'!F:F, F564)</f>
        <v/>
      </c>
    </row>
    <row r="565">
      <c r="A565" s="10" t="n">
        <v>564</v>
      </c>
      <c r="B565" s="11" t="inlineStr">
        <is>
          <t>Cox Bazar (GEN-A)</t>
        </is>
      </c>
      <c r="C565" s="11" t="inlineStr">
        <is>
          <t>Mr. Zakir Hossain</t>
        </is>
      </c>
      <c r="D565" s="11" t="inlineStr">
        <is>
          <t>Ukhia GEN-A-1</t>
        </is>
      </c>
      <c r="E565" s="11" t="inlineStr">
        <is>
          <t>Md. Ruhul Amin</t>
        </is>
      </c>
      <c r="F565" s="10" t="n">
        <v>11050</v>
      </c>
      <c r="G565" s="11" t="inlineStr">
        <is>
          <t>Teknaf-2</t>
        </is>
      </c>
      <c r="H565" s="10" t="n">
        <v>5139</v>
      </c>
      <c r="I565" s="11" t="inlineStr">
        <is>
          <t>Mr. Md. Mamun Miah</t>
        </is>
      </c>
      <c r="J565" s="10">
        <f>IF(K565&gt;0, "Completed", "Pending")</f>
        <v/>
      </c>
      <c r="K565" s="10">
        <f>COUNTIF('Survey Responses'!F:F, F565)</f>
        <v/>
      </c>
    </row>
    <row r="566">
      <c r="A566" s="10" t="n">
        <v>565</v>
      </c>
      <c r="B566" s="11" t="inlineStr">
        <is>
          <t>Cox Bazar (GEN-A)</t>
        </is>
      </c>
      <c r="C566" s="11" t="inlineStr">
        <is>
          <t>Mr. Zakir Hossain</t>
        </is>
      </c>
      <c r="D566" s="11" t="inlineStr">
        <is>
          <t>Ukhia GEN-A-1</t>
        </is>
      </c>
      <c r="E566" s="11" t="inlineStr">
        <is>
          <t>Md. Ruhul Amin</t>
        </is>
      </c>
      <c r="F566" s="10" t="n">
        <v>12293</v>
      </c>
      <c r="G566" s="11" t="inlineStr">
        <is>
          <t>Ukhia-1</t>
        </is>
      </c>
      <c r="H566" s="10" t="n">
        <v>3674</v>
      </c>
      <c r="I566" s="11" t="inlineStr">
        <is>
          <t>Mr. Md. Mahmudul Basunia</t>
        </is>
      </c>
      <c r="J566" s="10">
        <f>IF(K566&gt;0, "Completed", "Pending")</f>
        <v/>
      </c>
      <c r="K566" s="10">
        <f>COUNTIF('Survey Responses'!F:F, F566)</f>
        <v/>
      </c>
    </row>
    <row r="567">
      <c r="A567" s="10" t="n">
        <v>566</v>
      </c>
      <c r="B567" s="11" t="inlineStr">
        <is>
          <t>Cox Bazar (GEN-A)</t>
        </is>
      </c>
      <c r="C567" s="11" t="inlineStr">
        <is>
          <t>Mr. Zakir Hossain</t>
        </is>
      </c>
      <c r="D567" s="11" t="inlineStr">
        <is>
          <t>Ukhia GEN-A-1</t>
        </is>
      </c>
      <c r="E567" s="11" t="inlineStr">
        <is>
          <t>Md. Ruhul Amin</t>
        </is>
      </c>
      <c r="F567" s="10" t="n">
        <v>13085</v>
      </c>
      <c r="G567" s="11" t="inlineStr">
        <is>
          <t>Ukhia-2</t>
        </is>
      </c>
      <c r="H567" s="10" t="n">
        <v>7316</v>
      </c>
      <c r="I567" s="11" t="inlineStr">
        <is>
          <t>Mr. Md. Rasel Gazi</t>
        </is>
      </c>
      <c r="J567" s="10">
        <f>IF(K567&gt;0, "Completed", "Pending")</f>
        <v/>
      </c>
      <c r="K567" s="10">
        <f>COUNTIF('Survey Responses'!F:F, F567)</f>
        <v/>
      </c>
    </row>
    <row r="568">
      <c r="A568" s="10" t="n">
        <v>567</v>
      </c>
      <c r="B568" s="11" t="inlineStr">
        <is>
          <t>Chandpur (GEN-A)</t>
        </is>
      </c>
      <c r="C568" s="11" t="inlineStr">
        <is>
          <t>Mr. Md. Iffat Hassan</t>
        </is>
      </c>
      <c r="D568" s="11" t="inlineStr">
        <is>
          <t>Chandpur GEN-A-1</t>
        </is>
      </c>
      <c r="E568" s="11" t="inlineStr">
        <is>
          <t>Mr. Md. Mokaram Ahamed</t>
        </is>
      </c>
      <c r="F568" s="10" t="n">
        <v>10911</v>
      </c>
      <c r="G568" s="11" t="inlineStr">
        <is>
          <t>Chandpur (Diabetic Hosp.)-1</t>
        </is>
      </c>
      <c r="H568" s="10" t="n">
        <v>2937</v>
      </c>
      <c r="I568" s="11" t="inlineStr">
        <is>
          <t>Md. Riazul Islam</t>
        </is>
      </c>
      <c r="J568" s="10">
        <f>IF(K568&gt;0, "Completed", "Pending")</f>
        <v/>
      </c>
      <c r="K568" s="10">
        <f>COUNTIF('Survey Responses'!F:F, F568)</f>
        <v/>
      </c>
    </row>
    <row r="569">
      <c r="A569" s="10" t="n">
        <v>568</v>
      </c>
      <c r="B569" s="11" t="inlineStr">
        <is>
          <t>Chandpur (GEN-A)</t>
        </is>
      </c>
      <c r="C569" s="11" t="inlineStr">
        <is>
          <t>Mr. Md. Iffat Hassan</t>
        </is>
      </c>
      <c r="D569" s="11" t="inlineStr">
        <is>
          <t>Chandpur GEN-A-1</t>
        </is>
      </c>
      <c r="E569" s="11" t="inlineStr">
        <is>
          <t>Mr. Md. Mokaram Ahamed</t>
        </is>
      </c>
      <c r="F569" s="10" t="n">
        <v>10909</v>
      </c>
      <c r="G569" s="11" t="inlineStr">
        <is>
          <t>Chandpur (Medinova)-1</t>
        </is>
      </c>
      <c r="H569" s="10" t="n">
        <v>2527</v>
      </c>
      <c r="I569" s="11" t="inlineStr">
        <is>
          <t>Joy Roy Joni</t>
        </is>
      </c>
      <c r="J569" s="10">
        <f>IF(K569&gt;0, "Completed", "Pending")</f>
        <v/>
      </c>
      <c r="K569" s="10">
        <f>COUNTIF('Survey Responses'!F:F, F569)</f>
        <v/>
      </c>
    </row>
    <row r="570">
      <c r="A570" s="10" t="n">
        <v>569</v>
      </c>
      <c r="B570" s="11" t="inlineStr">
        <is>
          <t>Chandpur (GEN-A)</t>
        </is>
      </c>
      <c r="C570" s="11" t="inlineStr">
        <is>
          <t>Mr. Md. Iffat Hassan</t>
        </is>
      </c>
      <c r="D570" s="11" t="inlineStr">
        <is>
          <t>Chandpur GEN-A-1</t>
        </is>
      </c>
      <c r="E570" s="11" t="inlineStr">
        <is>
          <t>Mr. Md. Mokaram Ahamed</t>
        </is>
      </c>
      <c r="F570" s="10" t="n">
        <v>10910</v>
      </c>
      <c r="G570" s="11" t="inlineStr">
        <is>
          <t>Chandpur (Sadar Hosp.)-1</t>
        </is>
      </c>
      <c r="H570" s="10" t="n">
        <v>7646</v>
      </c>
      <c r="I570" s="11" t="inlineStr">
        <is>
          <t>Mr. Najmul Hasan Bhasani</t>
        </is>
      </c>
      <c r="J570" s="10">
        <f>IF(K570&gt;0, "Completed", "Pending")</f>
        <v/>
      </c>
      <c r="K570" s="10">
        <f>COUNTIF('Survey Responses'!F:F, F570)</f>
        <v/>
      </c>
    </row>
    <row r="571">
      <c r="A571" s="10" t="n">
        <v>570</v>
      </c>
      <c r="B571" s="11" t="inlineStr">
        <is>
          <t>Chandpur (GEN-A)</t>
        </is>
      </c>
      <c r="C571" s="11" t="inlineStr">
        <is>
          <t>Mr. Md. Iffat Hassan</t>
        </is>
      </c>
      <c r="D571" s="11" t="inlineStr">
        <is>
          <t>Chandpur GEN-A-1</t>
        </is>
      </c>
      <c r="E571" s="11" t="inlineStr">
        <is>
          <t>Mr. Md. Mokaram Ahamed</t>
        </is>
      </c>
      <c r="F571" s="10" t="n">
        <v>13621</v>
      </c>
      <c r="G571" s="11" t="inlineStr">
        <is>
          <t>Chandpur (Stadium Road)-1</t>
        </is>
      </c>
      <c r="H571" s="10" t="n">
        <v>7235</v>
      </c>
      <c r="I571" s="11" t="inlineStr">
        <is>
          <t>Mr. Md. Zillur Rahman</t>
        </is>
      </c>
      <c r="J571" s="10">
        <f>IF(K571&gt;0, "Completed", "Pending")</f>
        <v/>
      </c>
      <c r="K571" s="10">
        <f>COUNTIF('Survey Responses'!F:F, F571)</f>
        <v/>
      </c>
    </row>
    <row r="572">
      <c r="A572" s="10" t="n">
        <v>571</v>
      </c>
      <c r="B572" s="11" t="inlineStr">
        <is>
          <t>Chandpur (GEN-A)</t>
        </is>
      </c>
      <c r="C572" s="11" t="inlineStr">
        <is>
          <t>Mr. Md. Iffat Hassan</t>
        </is>
      </c>
      <c r="D572" s="11" t="inlineStr">
        <is>
          <t>Chandpur GEN-A-1</t>
        </is>
      </c>
      <c r="E572" s="11" t="inlineStr">
        <is>
          <t>Mr. Md. Mokaram Ahamed</t>
        </is>
      </c>
      <c r="F572" s="10" t="n">
        <v>10903</v>
      </c>
      <c r="G572" s="11" t="inlineStr">
        <is>
          <t>Faridgonj-1</t>
        </is>
      </c>
      <c r="H572" s="10" t="n">
        <v>1113</v>
      </c>
      <c r="I572" s="11" t="inlineStr">
        <is>
          <t>Md. Shah Sultan</t>
        </is>
      </c>
      <c r="J572" s="10">
        <f>IF(K572&gt;0, "Completed", "Pending")</f>
        <v/>
      </c>
      <c r="K572" s="10">
        <f>COUNTIF('Survey Responses'!F:F, F572)</f>
        <v/>
      </c>
    </row>
    <row r="573">
      <c r="A573" s="10" t="n">
        <v>572</v>
      </c>
      <c r="B573" s="11" t="inlineStr">
        <is>
          <t>Chandpur (GEN-A)</t>
        </is>
      </c>
      <c r="C573" s="11" t="inlineStr">
        <is>
          <t>Mr. Md. Iffat Hassan</t>
        </is>
      </c>
      <c r="D573" s="11" t="inlineStr">
        <is>
          <t>Chandpur GEN-A-1</t>
        </is>
      </c>
      <c r="E573" s="11" t="inlineStr">
        <is>
          <t>Mr. Md. Mokaram Ahamed</t>
        </is>
      </c>
      <c r="F573" s="10" t="n">
        <v>10904</v>
      </c>
      <c r="G573" s="11" t="inlineStr">
        <is>
          <t>Faridgonj-2</t>
        </is>
      </c>
      <c r="H573" s="10" t="n">
        <v>3018</v>
      </c>
      <c r="I573" s="11" t="inlineStr">
        <is>
          <t>Mubarak Hossin</t>
        </is>
      </c>
      <c r="J573" s="10">
        <f>IF(K573&gt;0, "Completed", "Pending")</f>
        <v/>
      </c>
      <c r="K573" s="10">
        <f>COUNTIF('Survey Responses'!F:F, F573)</f>
        <v/>
      </c>
    </row>
    <row r="574">
      <c r="A574" s="10" t="n">
        <v>573</v>
      </c>
      <c r="B574" s="11" t="inlineStr">
        <is>
          <t>Chandpur (GEN-A)</t>
        </is>
      </c>
      <c r="C574" s="11" t="inlineStr">
        <is>
          <t>Mr. Md. Iffat Hassan</t>
        </is>
      </c>
      <c r="D574" s="11" t="inlineStr">
        <is>
          <t>Chandpur GEN-A-1</t>
        </is>
      </c>
      <c r="E574" s="11" t="inlineStr">
        <is>
          <t>Mr. Md. Mokaram Ahamed</t>
        </is>
      </c>
      <c r="F574" s="10" t="n">
        <v>10905</v>
      </c>
      <c r="G574" s="11" t="inlineStr">
        <is>
          <t>Faridgonj-3</t>
        </is>
      </c>
      <c r="H574" s="10" t="n">
        <v>7118</v>
      </c>
      <c r="I574" s="11" t="inlineStr">
        <is>
          <t>Mr. Md. AB Rahman</t>
        </is>
      </c>
      <c r="J574" s="10">
        <f>IF(K574&gt;0, "Completed", "Pending")</f>
        <v/>
      </c>
      <c r="K574" s="10">
        <f>COUNTIF('Survey Responses'!F:F, F574)</f>
        <v/>
      </c>
    </row>
    <row r="575">
      <c r="A575" s="10" t="n">
        <v>574</v>
      </c>
      <c r="B575" s="11" t="inlineStr">
        <is>
          <t>Chandpur (GEN-A)</t>
        </is>
      </c>
      <c r="C575" s="11" t="inlineStr">
        <is>
          <t>Mr. Md. Iffat Hassan</t>
        </is>
      </c>
      <c r="D575" s="11" t="inlineStr">
        <is>
          <t>Chandpur GEN-A-1</t>
        </is>
      </c>
      <c r="E575" s="11" t="inlineStr">
        <is>
          <t>Mr. Md. Mokaram Ahamed</t>
        </is>
      </c>
      <c r="F575" s="10" t="n">
        <v>14571</v>
      </c>
      <c r="G575" s="11" t="inlineStr">
        <is>
          <t>Faridgonj-4</t>
        </is>
      </c>
      <c r="H575" s="10" t="n">
        <v>7657</v>
      </c>
      <c r="I575" s="11" t="inlineStr">
        <is>
          <t>Mr. Md. Hasan Imam Pulak</t>
        </is>
      </c>
      <c r="J575" s="10">
        <f>IF(K575&gt;0, "Completed", "Pending")</f>
        <v/>
      </c>
      <c r="K575" s="10">
        <f>COUNTIF('Survey Responses'!F:F, F575)</f>
        <v/>
      </c>
    </row>
    <row r="576">
      <c r="A576" s="10" t="n">
        <v>575</v>
      </c>
      <c r="B576" s="11" t="inlineStr">
        <is>
          <t>Chandpur (GEN-A)</t>
        </is>
      </c>
      <c r="C576" s="11" t="inlineStr">
        <is>
          <t>Mr. Md. Iffat Hassan</t>
        </is>
      </c>
      <c r="D576" s="11" t="inlineStr">
        <is>
          <t>Chandpur GEN-A-2</t>
        </is>
      </c>
      <c r="E576" s="11" t="inlineStr">
        <is>
          <t>Md. Obaidur Rahman</t>
        </is>
      </c>
      <c r="F576" s="10" t="n">
        <v>10901</v>
      </c>
      <c r="G576" s="11" t="inlineStr">
        <is>
          <t>Chandpur (Comfort)-1</t>
        </is>
      </c>
      <c r="H576" s="10" t="n">
        <v>6830</v>
      </c>
      <c r="I576" s="11" t="inlineStr">
        <is>
          <t>Mr. Md. Syful Islam</t>
        </is>
      </c>
      <c r="J576" s="10">
        <f>IF(K576&gt;0, "Completed", "Pending")</f>
        <v/>
      </c>
      <c r="K576" s="10">
        <f>COUNTIF('Survey Responses'!F:F, F576)</f>
        <v/>
      </c>
    </row>
    <row r="577">
      <c r="A577" s="10" t="n">
        <v>576</v>
      </c>
      <c r="B577" s="11" t="inlineStr">
        <is>
          <t>Chandpur (GEN-A)</t>
        </is>
      </c>
      <c r="C577" s="11" t="inlineStr">
        <is>
          <t>Mr. Md. Iffat Hassan</t>
        </is>
      </c>
      <c r="D577" s="11" t="inlineStr">
        <is>
          <t>Chandpur GEN-A-2</t>
        </is>
      </c>
      <c r="E577" s="11" t="inlineStr">
        <is>
          <t>Md. Obaidur Rahman</t>
        </is>
      </c>
      <c r="F577" s="10" t="n">
        <v>10908</v>
      </c>
      <c r="G577" s="11" t="inlineStr">
        <is>
          <t>Chandpur (Matrichaya)-1</t>
        </is>
      </c>
      <c r="H577" s="10" t="n">
        <v>3192</v>
      </c>
      <c r="I577" s="11" t="inlineStr">
        <is>
          <t>S.M.A Mannan</t>
        </is>
      </c>
      <c r="J577" s="10">
        <f>IF(K577&gt;0, "Completed", "Pending")</f>
        <v/>
      </c>
      <c r="K577" s="10">
        <f>COUNTIF('Survey Responses'!F:F, F577)</f>
        <v/>
      </c>
    </row>
    <row r="578">
      <c r="A578" s="10" t="n">
        <v>577</v>
      </c>
      <c r="B578" s="11" t="inlineStr">
        <is>
          <t>Chandpur (GEN-A)</t>
        </is>
      </c>
      <c r="C578" s="11" t="inlineStr">
        <is>
          <t>Mr. Md. Iffat Hassan</t>
        </is>
      </c>
      <c r="D578" s="11" t="inlineStr">
        <is>
          <t>Chandpur GEN-A-2</t>
        </is>
      </c>
      <c r="E578" s="11" t="inlineStr">
        <is>
          <t>Md. Obaidur Rahman</t>
        </is>
      </c>
      <c r="F578" s="10" t="n">
        <v>13082</v>
      </c>
      <c r="G578" s="11" t="inlineStr">
        <is>
          <t>Chandpur (New Life)-1</t>
        </is>
      </c>
      <c r="H578" s="10" t="n">
        <v>6606</v>
      </c>
      <c r="I578" s="11" t="inlineStr">
        <is>
          <t>Mr. Md. Harun Or Rashid</t>
        </is>
      </c>
      <c r="J578" s="10">
        <f>IF(K578&gt;0, "Completed", "Pending")</f>
        <v/>
      </c>
      <c r="K578" s="10">
        <f>COUNTIF('Survey Responses'!F:F, F578)</f>
        <v/>
      </c>
    </row>
    <row r="579">
      <c r="A579" s="10" t="n">
        <v>578</v>
      </c>
      <c r="B579" s="11" t="inlineStr">
        <is>
          <t>Chandpur (GEN-A)</t>
        </is>
      </c>
      <c r="C579" s="11" t="inlineStr">
        <is>
          <t>Mr. Md. Iffat Hassan</t>
        </is>
      </c>
      <c r="D579" s="11" t="inlineStr">
        <is>
          <t>Chandpur GEN-A-2</t>
        </is>
      </c>
      <c r="E579" s="11" t="inlineStr">
        <is>
          <t>Md. Obaidur Rahman</t>
        </is>
      </c>
      <c r="F579" s="10" t="n">
        <v>10902</v>
      </c>
      <c r="G579" s="11" t="inlineStr">
        <is>
          <t>Chandpur (Nova Aid)-1</t>
        </is>
      </c>
      <c r="H579" s="10" t="n">
        <v>1578</v>
      </c>
      <c r="I579" s="11" t="inlineStr">
        <is>
          <t>Md. Asaduzzaman</t>
        </is>
      </c>
      <c r="J579" s="10">
        <f>IF(K579&gt;0, "Completed", "Pending")</f>
        <v/>
      </c>
      <c r="K579" s="10">
        <f>COUNTIF('Survey Responses'!F:F, F579)</f>
        <v/>
      </c>
    </row>
    <row r="580">
      <c r="A580" s="10" t="n">
        <v>579</v>
      </c>
      <c r="B580" s="11" t="inlineStr">
        <is>
          <t>Chandpur (GEN-A)</t>
        </is>
      </c>
      <c r="C580" s="11" t="inlineStr">
        <is>
          <t>Mr. Md. Iffat Hassan</t>
        </is>
      </c>
      <c r="D580" s="11" t="inlineStr">
        <is>
          <t>Chandpur GEN-A-2</t>
        </is>
      </c>
      <c r="E580" s="11" t="inlineStr">
        <is>
          <t>Md. Obaidur Rahman</t>
        </is>
      </c>
      <c r="F580" s="10" t="n">
        <v>12573</v>
      </c>
      <c r="G580" s="11" t="inlineStr">
        <is>
          <t>Chandpur (Puran Bazar)-1</t>
        </is>
      </c>
      <c r="H580" s="10" t="n">
        <v>1097</v>
      </c>
      <c r="I580" s="11" t="inlineStr">
        <is>
          <t>Md. Nashir Hossen</t>
        </is>
      </c>
      <c r="J580" s="10">
        <f>IF(K580&gt;0, "Completed", "Pending")</f>
        <v/>
      </c>
      <c r="K580" s="10">
        <f>COUNTIF('Survey Responses'!F:F, F580)</f>
        <v/>
      </c>
    </row>
    <row r="581">
      <c r="A581" s="10" t="n">
        <v>580</v>
      </c>
      <c r="B581" s="11" t="inlineStr">
        <is>
          <t>Chandpur (GEN-A)</t>
        </is>
      </c>
      <c r="C581" s="11" t="inlineStr">
        <is>
          <t>Mr. Md. Iffat Hassan</t>
        </is>
      </c>
      <c r="D581" s="11" t="inlineStr">
        <is>
          <t>Chandpur GEN-A-2</t>
        </is>
      </c>
      <c r="E581" s="11" t="inlineStr">
        <is>
          <t>Md. Obaidur Rahman</t>
        </is>
      </c>
      <c r="F581" s="10" t="n">
        <v>10906</v>
      </c>
      <c r="G581" s="11" t="inlineStr">
        <is>
          <t>Chandpur (Sadar Hosp.)-2</t>
        </is>
      </c>
      <c r="H581" s="10" t="n">
        <v>1968</v>
      </c>
      <c r="I581" s="11" t="inlineStr">
        <is>
          <t>Anukul Chandra Pramanik</t>
        </is>
      </c>
      <c r="J581" s="10">
        <f>IF(K581&gt;0, "Completed", "Pending")</f>
        <v/>
      </c>
      <c r="K581" s="10">
        <f>COUNTIF('Survey Responses'!F:F, F581)</f>
        <v/>
      </c>
    </row>
    <row r="582">
      <c r="A582" s="10" t="n">
        <v>581</v>
      </c>
      <c r="B582" s="11" t="inlineStr">
        <is>
          <t>Chandpur (GEN-A)</t>
        </is>
      </c>
      <c r="C582" s="11" t="inlineStr">
        <is>
          <t>Mr. Md. Iffat Hassan</t>
        </is>
      </c>
      <c r="D582" s="11" t="inlineStr">
        <is>
          <t>Chandpur GEN-A-2</t>
        </is>
      </c>
      <c r="E582" s="11" t="inlineStr">
        <is>
          <t>Md. Obaidur Rahman</t>
        </is>
      </c>
      <c r="F582" s="10" t="n">
        <v>10907</v>
      </c>
      <c r="G582" s="11" t="inlineStr">
        <is>
          <t>Haimchar</t>
        </is>
      </c>
      <c r="H582" s="10" t="n">
        <v>1829</v>
      </c>
      <c r="I582" s="11" t="inlineStr">
        <is>
          <t>Md. Shahadat Hossain</t>
        </is>
      </c>
      <c r="J582" s="10">
        <f>IF(K582&gt;0, "Completed", "Pending")</f>
        <v/>
      </c>
      <c r="K582" s="10">
        <f>COUNTIF('Survey Responses'!F:F, F582)</f>
        <v/>
      </c>
    </row>
    <row r="583">
      <c r="A583" s="10" t="n">
        <v>582</v>
      </c>
      <c r="B583" s="11" t="inlineStr">
        <is>
          <t>Chandpur (GEN-A)</t>
        </is>
      </c>
      <c r="C583" s="11" t="inlineStr">
        <is>
          <t>Mr. Md. Iffat Hassan</t>
        </is>
      </c>
      <c r="D583" s="11" t="inlineStr">
        <is>
          <t>Chatkhil GEN-A-1</t>
        </is>
      </c>
      <c r="E583" s="11" t="inlineStr">
        <is>
          <t>Mr. Md. Abdur Rahman</t>
        </is>
      </c>
      <c r="F583" s="10" t="n">
        <v>10870</v>
      </c>
      <c r="G583" s="11" t="inlineStr">
        <is>
          <t>Chatkhil-1</t>
        </is>
      </c>
      <c r="H583" s="10" t="n">
        <v>2125</v>
      </c>
      <c r="I583" s="11" t="inlineStr">
        <is>
          <t>Md. Aminul Islam</t>
        </is>
      </c>
      <c r="J583" s="10">
        <f>IF(K583&gt;0, "Completed", "Pending")</f>
        <v/>
      </c>
      <c r="K583" s="10">
        <f>COUNTIF('Survey Responses'!F:F, F583)</f>
        <v/>
      </c>
    </row>
    <row r="584">
      <c r="A584" s="10" t="n">
        <v>583</v>
      </c>
      <c r="B584" s="11" t="inlineStr">
        <is>
          <t>Chandpur (GEN-A)</t>
        </is>
      </c>
      <c r="C584" s="11" t="inlineStr">
        <is>
          <t>Mr. Md. Iffat Hassan</t>
        </is>
      </c>
      <c r="D584" s="11" t="inlineStr">
        <is>
          <t>Chatkhil GEN-A-1</t>
        </is>
      </c>
      <c r="E584" s="11" t="inlineStr">
        <is>
          <t>Mr. Md. Abdur Rahman</t>
        </is>
      </c>
      <c r="F584" s="10" t="n">
        <v>10871</v>
      </c>
      <c r="G584" s="11" t="inlineStr">
        <is>
          <t>Chatkhil-2</t>
        </is>
      </c>
      <c r="H584" s="10" t="n">
        <v>5140</v>
      </c>
      <c r="I584" s="11" t="inlineStr">
        <is>
          <t>Mr. Md. Aminul Islam</t>
        </is>
      </c>
      <c r="J584" s="10">
        <f>IF(K584&gt;0, "Completed", "Pending")</f>
        <v/>
      </c>
      <c r="K584" s="10">
        <f>COUNTIF('Survey Responses'!F:F, F584)</f>
        <v/>
      </c>
    </row>
    <row r="585">
      <c r="A585" s="10" t="n">
        <v>584</v>
      </c>
      <c r="B585" s="11" t="inlineStr">
        <is>
          <t>Chandpur (GEN-A)</t>
        </is>
      </c>
      <c r="C585" s="11" t="inlineStr">
        <is>
          <t>Mr. Md. Iffat Hassan</t>
        </is>
      </c>
      <c r="D585" s="11" t="inlineStr">
        <is>
          <t>Chatkhil GEN-A-1</t>
        </is>
      </c>
      <c r="E585" s="11" t="inlineStr">
        <is>
          <t>Mr. Md. Abdur Rahman</t>
        </is>
      </c>
      <c r="F585" s="10" t="n">
        <v>10872</v>
      </c>
      <c r="G585" s="11" t="inlineStr">
        <is>
          <t>Chatkhil-3</t>
        </is>
      </c>
      <c r="H585" s="10" t="n">
        <v>3521</v>
      </c>
      <c r="I585" s="11" t="inlineStr">
        <is>
          <t>Mr. Pabitra Biswas</t>
        </is>
      </c>
      <c r="J585" s="10">
        <f>IF(K585&gt;0, "Completed", "Pending")</f>
        <v/>
      </c>
      <c r="K585" s="10">
        <f>COUNTIF('Survey Responses'!F:F, F585)</f>
        <v/>
      </c>
    </row>
    <row r="586">
      <c r="A586" s="10" t="n">
        <v>585</v>
      </c>
      <c r="B586" s="11" t="inlineStr">
        <is>
          <t>Chandpur (GEN-A)</t>
        </is>
      </c>
      <c r="C586" s="11" t="inlineStr">
        <is>
          <t>Mr. Md. Iffat Hassan</t>
        </is>
      </c>
      <c r="D586" s="11" t="inlineStr">
        <is>
          <t>Chatkhil GEN-A-1</t>
        </is>
      </c>
      <c r="E586" s="11" t="inlineStr">
        <is>
          <t>Mr. Md. Abdur Rahman</t>
        </is>
      </c>
      <c r="F586" s="10" t="n">
        <v>10873</v>
      </c>
      <c r="G586" s="11" t="inlineStr">
        <is>
          <t>Chatkhil-4</t>
        </is>
      </c>
      <c r="H586" s="10" t="n">
        <v>2108</v>
      </c>
      <c r="I586" s="11" t="inlineStr">
        <is>
          <t>Md. Rasel Mia</t>
        </is>
      </c>
      <c r="J586" s="10">
        <f>IF(K586&gt;0, "Completed", "Pending")</f>
        <v/>
      </c>
      <c r="K586" s="10">
        <f>COUNTIF('Survey Responses'!F:F, F586)</f>
        <v/>
      </c>
    </row>
    <row r="587">
      <c r="A587" s="10" t="n">
        <v>586</v>
      </c>
      <c r="B587" s="11" t="inlineStr">
        <is>
          <t>Chandpur (GEN-A)</t>
        </is>
      </c>
      <c r="C587" s="11" t="inlineStr">
        <is>
          <t>Mr. Md. Iffat Hassan</t>
        </is>
      </c>
      <c r="D587" s="11" t="inlineStr">
        <is>
          <t>Chatkhil GEN-A-1</t>
        </is>
      </c>
      <c r="E587" s="11" t="inlineStr">
        <is>
          <t>Mr. Md. Abdur Rahman</t>
        </is>
      </c>
      <c r="F587" s="10" t="n">
        <v>12295</v>
      </c>
      <c r="G587" s="11" t="inlineStr">
        <is>
          <t>Joyag-1</t>
        </is>
      </c>
      <c r="H587" s="10" t="n">
        <v>3677</v>
      </c>
      <c r="I587" s="11" t="inlineStr">
        <is>
          <t>Mr. Md. Abdul Kaium</t>
        </is>
      </c>
      <c r="J587" s="10">
        <f>IF(K587&gt;0, "Completed", "Pending")</f>
        <v/>
      </c>
      <c r="K587" s="10">
        <f>COUNTIF('Survey Responses'!F:F, F587)</f>
        <v/>
      </c>
    </row>
    <row r="588">
      <c r="A588" s="10" t="n">
        <v>587</v>
      </c>
      <c r="B588" s="11" t="inlineStr">
        <is>
          <t>Chandpur (GEN-A)</t>
        </is>
      </c>
      <c r="C588" s="11" t="inlineStr">
        <is>
          <t>Mr. Md. Iffat Hassan</t>
        </is>
      </c>
      <c r="D588" s="11" t="inlineStr">
        <is>
          <t>Chatkhil GEN-A-1</t>
        </is>
      </c>
      <c r="E588" s="11" t="inlineStr">
        <is>
          <t>Mr. Md. Abdur Rahman</t>
        </is>
      </c>
      <c r="F588" s="10" t="n">
        <v>10880</v>
      </c>
      <c r="G588" s="11" t="inlineStr">
        <is>
          <t>Monohorgonj-1</t>
        </is>
      </c>
      <c r="H588" s="10" t="n">
        <v>1092</v>
      </c>
      <c r="I588" s="11" t="inlineStr">
        <is>
          <t>Atabur Rahman</t>
        </is>
      </c>
      <c r="J588" s="10">
        <f>IF(K588&gt;0, "Completed", "Pending")</f>
        <v/>
      </c>
      <c r="K588" s="10">
        <f>COUNTIF('Survey Responses'!F:F, F588)</f>
        <v/>
      </c>
    </row>
    <row r="589">
      <c r="A589" s="10" t="n">
        <v>588</v>
      </c>
      <c r="B589" s="11" t="inlineStr">
        <is>
          <t>Chandpur (GEN-A)</t>
        </is>
      </c>
      <c r="C589" s="11" t="inlineStr">
        <is>
          <t>Mr. Md. Iffat Hassan</t>
        </is>
      </c>
      <c r="D589" s="11" t="inlineStr">
        <is>
          <t>Chatkhil GEN-A-1</t>
        </is>
      </c>
      <c r="E589" s="11" t="inlineStr">
        <is>
          <t>Mr. Md. Abdur Rahman</t>
        </is>
      </c>
      <c r="F589" s="10" t="n">
        <v>12296</v>
      </c>
      <c r="G589" s="11" t="inlineStr">
        <is>
          <t>Monohorgonj-2</t>
        </is>
      </c>
      <c r="H589" s="10" t="n">
        <v>8777</v>
      </c>
      <c r="I589" s="11" t="inlineStr">
        <is>
          <t>Mr. Md. Muktady Rahman Murad</t>
        </is>
      </c>
      <c r="J589" s="10">
        <f>IF(K589&gt;0, "Completed", "Pending")</f>
        <v/>
      </c>
      <c r="K589" s="10">
        <f>COUNTIF('Survey Responses'!F:F, F589)</f>
        <v/>
      </c>
    </row>
    <row r="590">
      <c r="A590" s="10" t="n">
        <v>589</v>
      </c>
      <c r="B590" s="11" t="inlineStr">
        <is>
          <t>Chandpur (GEN-A)</t>
        </is>
      </c>
      <c r="C590" s="11" t="inlineStr">
        <is>
          <t>Mr. Md. Iffat Hassan</t>
        </is>
      </c>
      <c r="D590" s="11" t="inlineStr">
        <is>
          <t>Chatkhil GEN-A-1</t>
        </is>
      </c>
      <c r="E590" s="11" t="inlineStr">
        <is>
          <t>Mr. Md. Abdur Rahman</t>
        </is>
      </c>
      <c r="F590" s="10" t="n">
        <v>13619</v>
      </c>
      <c r="G590" s="11" t="inlineStr">
        <is>
          <t>Monohorgonj-3</t>
        </is>
      </c>
      <c r="H590" s="10" t="n">
        <v>7228</v>
      </c>
      <c r="I590" s="11" t="inlineStr">
        <is>
          <t>Mr. Md. Umar Faruk</t>
        </is>
      </c>
      <c r="J590" s="10">
        <f>IF(K590&gt;0, "Completed", "Pending")</f>
        <v/>
      </c>
      <c r="K590" s="10">
        <f>COUNTIF('Survey Responses'!F:F, F590)</f>
        <v/>
      </c>
    </row>
    <row r="591">
      <c r="A591" s="10" t="n">
        <v>590</v>
      </c>
      <c r="B591" s="11" t="inlineStr">
        <is>
          <t>Chandpur (GEN-A)</t>
        </is>
      </c>
      <c r="C591" s="11" t="inlineStr">
        <is>
          <t>Mr. Md. Iffat Hassan</t>
        </is>
      </c>
      <c r="D591" s="11" t="inlineStr">
        <is>
          <t>Hazigonj GEN-A-1</t>
        </is>
      </c>
      <c r="E591" s="11" t="inlineStr">
        <is>
          <t>Mr. Gautam Baral</t>
        </is>
      </c>
      <c r="F591" s="10" t="n">
        <v>10897</v>
      </c>
      <c r="G591" s="11" t="inlineStr">
        <is>
          <t>Chandra</t>
        </is>
      </c>
      <c r="H591" s="10" t="n">
        <v>5143</v>
      </c>
      <c r="I591" s="11" t="inlineStr">
        <is>
          <t>Mr. Sohag Chandra Roy</t>
        </is>
      </c>
      <c r="J591" s="10">
        <f>IF(K591&gt;0, "Completed", "Pending")</f>
        <v/>
      </c>
      <c r="K591" s="10">
        <f>COUNTIF('Survey Responses'!F:F, F591)</f>
        <v/>
      </c>
    </row>
    <row r="592">
      <c r="A592" s="10" t="n">
        <v>591</v>
      </c>
      <c r="B592" s="11" t="inlineStr">
        <is>
          <t>Chandpur (GEN-A)</t>
        </is>
      </c>
      <c r="C592" s="11" t="inlineStr">
        <is>
          <t>Mr. Md. Iffat Hassan</t>
        </is>
      </c>
      <c r="D592" s="11" t="inlineStr">
        <is>
          <t>Hazigonj GEN-A-1</t>
        </is>
      </c>
      <c r="E592" s="11" t="inlineStr">
        <is>
          <t>Mr. Gautam Baral</t>
        </is>
      </c>
      <c r="F592" s="10" t="n">
        <v>10892</v>
      </c>
      <c r="G592" s="11" t="inlineStr">
        <is>
          <t>Hazigonj-1</t>
        </is>
      </c>
      <c r="H592" s="10" t="n">
        <v>817</v>
      </c>
      <c r="I592" s="11" t="inlineStr">
        <is>
          <t>Md. Sultan Uddin</t>
        </is>
      </c>
      <c r="J592" s="10">
        <f>IF(K592&gt;0, "Completed", "Pending")</f>
        <v/>
      </c>
      <c r="K592" s="10">
        <f>COUNTIF('Survey Responses'!F:F, F592)</f>
        <v/>
      </c>
    </row>
    <row r="593">
      <c r="A593" s="10" t="n">
        <v>592</v>
      </c>
      <c r="B593" s="11" t="inlineStr">
        <is>
          <t>Chandpur (GEN-A)</t>
        </is>
      </c>
      <c r="C593" s="11" t="inlineStr">
        <is>
          <t>Mr. Md. Iffat Hassan</t>
        </is>
      </c>
      <c r="D593" s="11" t="inlineStr">
        <is>
          <t>Hazigonj GEN-A-1</t>
        </is>
      </c>
      <c r="E593" s="11" t="inlineStr">
        <is>
          <t>Mr. Gautam Baral</t>
        </is>
      </c>
      <c r="F593" s="10" t="n">
        <v>10893</v>
      </c>
      <c r="G593" s="11" t="inlineStr">
        <is>
          <t>Hazigonj-2</t>
        </is>
      </c>
      <c r="H593" s="10" t="n">
        <v>5084</v>
      </c>
      <c r="I593" s="11" t="inlineStr">
        <is>
          <t>Mr. Md. Momin Miah</t>
        </is>
      </c>
      <c r="J593" s="10">
        <f>IF(K593&gt;0, "Completed", "Pending")</f>
        <v/>
      </c>
      <c r="K593" s="10">
        <f>COUNTIF('Survey Responses'!F:F, F593)</f>
        <v/>
      </c>
    </row>
    <row r="594">
      <c r="A594" s="10" t="n">
        <v>593</v>
      </c>
      <c r="B594" s="11" t="inlineStr">
        <is>
          <t>Chandpur (GEN-A)</t>
        </is>
      </c>
      <c r="C594" s="11" t="inlineStr">
        <is>
          <t>Mr. Md. Iffat Hassan</t>
        </is>
      </c>
      <c r="D594" s="11" t="inlineStr">
        <is>
          <t>Hazigonj GEN-A-1</t>
        </is>
      </c>
      <c r="E594" s="11" t="inlineStr">
        <is>
          <t>Mr. Gautam Baral</t>
        </is>
      </c>
      <c r="F594" s="10" t="n">
        <v>10890</v>
      </c>
      <c r="G594" s="11" t="inlineStr">
        <is>
          <t>Hazigonj-3</t>
        </is>
      </c>
      <c r="H594" s="10" t="n">
        <v>3511</v>
      </c>
      <c r="I594" s="11" t="inlineStr">
        <is>
          <t>Mr. Md. Mizanur Rahman</t>
        </is>
      </c>
      <c r="J594" s="10">
        <f>IF(K594&gt;0, "Completed", "Pending")</f>
        <v/>
      </c>
      <c r="K594" s="10">
        <f>COUNTIF('Survey Responses'!F:F, F594)</f>
        <v/>
      </c>
    </row>
    <row r="595">
      <c r="A595" s="10" t="n">
        <v>594</v>
      </c>
      <c r="B595" s="11" t="inlineStr">
        <is>
          <t>Chandpur (GEN-A)</t>
        </is>
      </c>
      <c r="C595" s="11" t="inlineStr">
        <is>
          <t>Mr. Md. Iffat Hassan</t>
        </is>
      </c>
      <c r="D595" s="11" t="inlineStr">
        <is>
          <t>Hazigonj GEN-A-1</t>
        </is>
      </c>
      <c r="E595" s="11" t="inlineStr">
        <is>
          <t>Mr. Gautam Baral</t>
        </is>
      </c>
      <c r="F595" s="10" t="n">
        <v>10891</v>
      </c>
      <c r="G595" s="11" t="inlineStr">
        <is>
          <t>Hazigonj-4</t>
        </is>
      </c>
      <c r="H595" s="10" t="n">
        <v>1076</v>
      </c>
      <c r="I595" s="11" t="inlineStr">
        <is>
          <t>Md. Sulaiman Kabir</t>
        </is>
      </c>
      <c r="J595" s="10">
        <f>IF(K595&gt;0, "Completed", "Pending")</f>
        <v/>
      </c>
      <c r="K595" s="10">
        <f>COUNTIF('Survey Responses'!F:F, F595)</f>
        <v/>
      </c>
    </row>
    <row r="596">
      <c r="A596" s="10" t="n">
        <v>595</v>
      </c>
      <c r="B596" s="11" t="inlineStr">
        <is>
          <t>Chandpur (GEN-A)</t>
        </is>
      </c>
      <c r="C596" s="11" t="inlineStr">
        <is>
          <t>Mr. Md. Iffat Hassan</t>
        </is>
      </c>
      <c r="D596" s="11" t="inlineStr">
        <is>
          <t>Hazigonj GEN-A-1</t>
        </is>
      </c>
      <c r="E596" s="11" t="inlineStr">
        <is>
          <t>Mr. Gautam Baral</t>
        </is>
      </c>
      <c r="F596" s="10" t="n">
        <v>12534</v>
      </c>
      <c r="G596" s="11" t="inlineStr">
        <is>
          <t>Hazigonj-5</t>
        </is>
      </c>
      <c r="H596" s="10" t="n">
        <v>5809</v>
      </c>
      <c r="I596" s="11" t="inlineStr">
        <is>
          <t>Mr. Rakib Mia</t>
        </is>
      </c>
      <c r="J596" s="10">
        <f>IF(K596&gt;0, "Completed", "Pending")</f>
        <v/>
      </c>
      <c r="K596" s="10">
        <f>COUNTIF('Survey Responses'!F:F, F596)</f>
        <v/>
      </c>
    </row>
    <row r="597">
      <c r="A597" s="10" t="n">
        <v>596</v>
      </c>
      <c r="B597" s="11" t="inlineStr">
        <is>
          <t>Chandpur (GEN-A)</t>
        </is>
      </c>
      <c r="C597" s="11" t="inlineStr">
        <is>
          <t>Mr. Md. Iffat Hassan</t>
        </is>
      </c>
      <c r="D597" s="11" t="inlineStr">
        <is>
          <t>Hazigonj GEN-A-1</t>
        </is>
      </c>
      <c r="E597" s="11" t="inlineStr">
        <is>
          <t>Mr. Gautam Baral</t>
        </is>
      </c>
      <c r="F597" s="10" t="n">
        <v>12916</v>
      </c>
      <c r="G597" s="11" t="inlineStr">
        <is>
          <t>Hazigonj-6</t>
        </is>
      </c>
      <c r="H597" s="10" t="n">
        <v>5144</v>
      </c>
      <c r="I597" s="11" t="inlineStr">
        <is>
          <t>Mr. Md. Abu Talha</t>
        </is>
      </c>
      <c r="J597" s="10">
        <f>IF(K597&gt;0, "Completed", "Pending")</f>
        <v/>
      </c>
      <c r="K597" s="10">
        <f>COUNTIF('Survey Responses'!F:F, F597)</f>
        <v/>
      </c>
    </row>
    <row r="598">
      <c r="A598" s="10" t="n">
        <v>597</v>
      </c>
      <c r="B598" s="11" t="inlineStr">
        <is>
          <t>Chandpur (GEN-A)</t>
        </is>
      </c>
      <c r="C598" s="11" t="inlineStr">
        <is>
          <t>Mr. Md. Iffat Hassan</t>
        </is>
      </c>
      <c r="D598" s="11" t="inlineStr">
        <is>
          <t>Hazigonj GEN-A-1</t>
        </is>
      </c>
      <c r="E598" s="11" t="inlineStr">
        <is>
          <t>Mr. Gautam Baral</t>
        </is>
      </c>
      <c r="F598" s="10" t="n">
        <v>14570</v>
      </c>
      <c r="G598" s="11" t="inlineStr">
        <is>
          <t>Hazigonj-7</t>
        </is>
      </c>
      <c r="H598" s="10" t="n">
        <v>7652</v>
      </c>
      <c r="I598" s="11" t="inlineStr">
        <is>
          <t>Mr. Md. Ariful Islam</t>
        </is>
      </c>
      <c r="J598" s="10">
        <f>IF(K598&gt;0, "Completed", "Pending")</f>
        <v/>
      </c>
      <c r="K598" s="10">
        <f>COUNTIF('Survey Responses'!F:F, F598)</f>
        <v/>
      </c>
    </row>
    <row r="599">
      <c r="A599" s="10" t="n">
        <v>598</v>
      </c>
      <c r="B599" s="11" t="inlineStr">
        <is>
          <t>Chandpur (GEN-A)</t>
        </is>
      </c>
      <c r="C599" s="11" t="inlineStr">
        <is>
          <t>Mr. Md. Iffat Hassan</t>
        </is>
      </c>
      <c r="D599" s="11" t="inlineStr">
        <is>
          <t>Motlab GEN-A-1</t>
        </is>
      </c>
      <c r="E599" s="11" t="inlineStr">
        <is>
          <t>Md. Halim Uddin</t>
        </is>
      </c>
      <c r="F599" s="10" t="n">
        <v>10913</v>
      </c>
      <c r="G599" s="11" t="inlineStr">
        <is>
          <t>Baburhat</t>
        </is>
      </c>
      <c r="H599" s="10" t="n">
        <v>1705</v>
      </c>
      <c r="I599" s="11" t="inlineStr">
        <is>
          <t>Md. Shahin Alam</t>
        </is>
      </c>
      <c r="J599" s="10">
        <f>IF(K599&gt;0, "Completed", "Pending")</f>
        <v/>
      </c>
      <c r="K599" s="10">
        <f>COUNTIF('Survey Responses'!F:F, F599)</f>
        <v/>
      </c>
    </row>
    <row r="600">
      <c r="A600" s="10" t="n">
        <v>599</v>
      </c>
      <c r="B600" s="11" t="inlineStr">
        <is>
          <t>Chandpur (GEN-A)</t>
        </is>
      </c>
      <c r="C600" s="11" t="inlineStr">
        <is>
          <t>Mr. Md. Iffat Hassan</t>
        </is>
      </c>
      <c r="D600" s="11" t="inlineStr">
        <is>
          <t>Motlab GEN-A-1</t>
        </is>
      </c>
      <c r="E600" s="11" t="inlineStr">
        <is>
          <t>Md. Halim Uddin</t>
        </is>
      </c>
      <c r="F600" s="10" t="n">
        <v>10915</v>
      </c>
      <c r="G600" s="11" t="inlineStr">
        <is>
          <t>Matlab Uttar-1</t>
        </is>
      </c>
      <c r="H600" s="10" t="n">
        <v>1546</v>
      </c>
      <c r="I600" s="11" t="inlineStr">
        <is>
          <t>Md. Ziarul Haque</t>
        </is>
      </c>
      <c r="J600" s="10">
        <f>IF(K600&gt;0, "Completed", "Pending")</f>
        <v/>
      </c>
      <c r="K600" s="10">
        <f>COUNTIF('Survey Responses'!F:F, F600)</f>
        <v/>
      </c>
    </row>
    <row r="601">
      <c r="A601" s="10" t="n">
        <v>600</v>
      </c>
      <c r="B601" s="11" t="inlineStr">
        <is>
          <t>Chandpur (GEN-A)</t>
        </is>
      </c>
      <c r="C601" s="11" t="inlineStr">
        <is>
          <t>Mr. Md. Iffat Hassan</t>
        </is>
      </c>
      <c r="D601" s="11" t="inlineStr">
        <is>
          <t>Motlab GEN-A-1</t>
        </is>
      </c>
      <c r="E601" s="11" t="inlineStr">
        <is>
          <t>Md. Halim Uddin</t>
        </is>
      </c>
      <c r="F601" s="10" t="n">
        <v>13057</v>
      </c>
      <c r="G601" s="11" t="inlineStr">
        <is>
          <t>Matlab Uttar-2</t>
        </is>
      </c>
      <c r="H601" s="10" t="n">
        <v>5390</v>
      </c>
      <c r="I601" s="11" t="inlineStr">
        <is>
          <t>Mr. Rakibul Islam</t>
        </is>
      </c>
      <c r="J601" s="10">
        <f>IF(K601&gt;0, "Completed", "Pending")</f>
        <v/>
      </c>
      <c r="K601" s="10">
        <f>COUNTIF('Survey Responses'!F:F, F601)</f>
        <v/>
      </c>
    </row>
    <row r="602">
      <c r="A602" s="10" t="n">
        <v>601</v>
      </c>
      <c r="B602" s="11" t="inlineStr">
        <is>
          <t>Chandpur (GEN-A)</t>
        </is>
      </c>
      <c r="C602" s="11" t="inlineStr">
        <is>
          <t>Mr. Md. Iffat Hassan</t>
        </is>
      </c>
      <c r="D602" s="11" t="inlineStr">
        <is>
          <t>Motlab GEN-A-1</t>
        </is>
      </c>
      <c r="E602" s="11" t="inlineStr">
        <is>
          <t>Md. Halim Uddin</t>
        </is>
      </c>
      <c r="F602" s="10" t="n">
        <v>10912</v>
      </c>
      <c r="G602" s="11" t="inlineStr">
        <is>
          <t>Motlob-1</t>
        </is>
      </c>
      <c r="H602" s="10" t="n">
        <v>1803</v>
      </c>
      <c r="I602" s="11" t="inlineStr">
        <is>
          <t>Md. Mizanur Rahman</t>
        </is>
      </c>
      <c r="J602" s="10">
        <f>IF(K602&gt;0, "Completed", "Pending")</f>
        <v/>
      </c>
      <c r="K602" s="10">
        <f>COUNTIF('Survey Responses'!F:F, F602)</f>
        <v/>
      </c>
    </row>
    <row r="603">
      <c r="A603" s="10" t="n">
        <v>602</v>
      </c>
      <c r="B603" s="11" t="inlineStr">
        <is>
          <t>Chandpur (GEN-A)</t>
        </is>
      </c>
      <c r="C603" s="11" t="inlineStr">
        <is>
          <t>Mr. Md. Iffat Hassan</t>
        </is>
      </c>
      <c r="D603" s="11" t="inlineStr">
        <is>
          <t>Motlab GEN-A-1</t>
        </is>
      </c>
      <c r="E603" s="11" t="inlineStr">
        <is>
          <t>Md. Halim Uddin</t>
        </is>
      </c>
      <c r="F603" s="10" t="n">
        <v>10914</v>
      </c>
      <c r="G603" s="11" t="inlineStr">
        <is>
          <t>Motlob-2</t>
        </is>
      </c>
      <c r="H603" s="10" t="n">
        <v>5014</v>
      </c>
      <c r="I603" s="11" t="inlineStr">
        <is>
          <t>Mr. Asish Kumar Sarkar</t>
        </is>
      </c>
      <c r="J603" s="10">
        <f>IF(K603&gt;0, "Completed", "Pending")</f>
        <v/>
      </c>
      <c r="K603" s="10">
        <f>COUNTIF('Survey Responses'!F:F, F603)</f>
        <v/>
      </c>
    </row>
    <row r="604">
      <c r="A604" s="10" t="n">
        <v>603</v>
      </c>
      <c r="B604" s="11" t="inlineStr">
        <is>
          <t>Chandpur (GEN-A)</t>
        </is>
      </c>
      <c r="C604" s="11" t="inlineStr">
        <is>
          <t>Mr. Md. Iffat Hassan</t>
        </is>
      </c>
      <c r="D604" s="11" t="inlineStr">
        <is>
          <t>Motlab GEN-A-1</t>
        </is>
      </c>
      <c r="E604" s="11" t="inlineStr">
        <is>
          <t>Md. Halim Uddin</t>
        </is>
      </c>
      <c r="F604" s="10" t="n">
        <v>13267</v>
      </c>
      <c r="G604" s="11" t="inlineStr">
        <is>
          <t>Motlob-3</t>
        </is>
      </c>
      <c r="H604" s="10" t="n">
        <v>8845</v>
      </c>
      <c r="I604" s="11" t="inlineStr">
        <is>
          <t>Mr. Md. Rowfel Ahammed</t>
        </is>
      </c>
      <c r="J604" s="10">
        <f>IF(K604&gt;0, "Completed", "Pending")</f>
        <v/>
      </c>
      <c r="K604" s="10">
        <f>COUNTIF('Survey Responses'!F:F, F604)</f>
        <v/>
      </c>
    </row>
    <row r="605">
      <c r="A605" s="10" t="n">
        <v>604</v>
      </c>
      <c r="B605" s="11" t="inlineStr">
        <is>
          <t>Chandpur (GEN-A)</t>
        </is>
      </c>
      <c r="C605" s="11" t="inlineStr">
        <is>
          <t>Mr. Md. Iffat Hassan</t>
        </is>
      </c>
      <c r="D605" s="11" t="inlineStr">
        <is>
          <t>Motlab GEN-A-1</t>
        </is>
      </c>
      <c r="E605" s="11" t="inlineStr">
        <is>
          <t>Md. Halim Uddin</t>
        </is>
      </c>
      <c r="F605" s="10" t="n">
        <v>12222</v>
      </c>
      <c r="G605" s="11" t="inlineStr">
        <is>
          <t>Narayanpur-1</t>
        </is>
      </c>
      <c r="H605" s="10" t="n">
        <v>3602</v>
      </c>
      <c r="I605" s="11" t="inlineStr">
        <is>
          <t>Mr. Mithun Chandra Barman</t>
        </is>
      </c>
      <c r="J605" s="10">
        <f>IF(K605&gt;0, "Completed", "Pending")</f>
        <v/>
      </c>
      <c r="K605" s="10">
        <f>COUNTIF('Survey Responses'!F:F, F605)</f>
        <v/>
      </c>
    </row>
    <row r="606">
      <c r="A606" s="10" t="n">
        <v>605</v>
      </c>
      <c r="B606" s="11" t="inlineStr">
        <is>
          <t>Chandpur (GEN-A)</t>
        </is>
      </c>
      <c r="C606" s="11" t="inlineStr">
        <is>
          <t>Mr. Md. Iffat Hassan</t>
        </is>
      </c>
      <c r="D606" s="11" t="inlineStr">
        <is>
          <t>Ramganj GEN-A-1</t>
        </is>
      </c>
      <c r="E606" s="11" t="inlineStr">
        <is>
          <t>Md. Rezaul Karim</t>
        </is>
      </c>
      <c r="F606" s="10" t="n">
        <v>10898</v>
      </c>
      <c r="G606" s="11" t="inlineStr">
        <is>
          <t>Raipur-1</t>
        </is>
      </c>
      <c r="H606" s="10" t="n">
        <v>1020</v>
      </c>
      <c r="I606" s="11" t="inlineStr">
        <is>
          <t>Masudur Rahman</t>
        </is>
      </c>
      <c r="J606" s="10">
        <f>IF(K606&gt;0, "Completed", "Pending")</f>
        <v/>
      </c>
      <c r="K606" s="10">
        <f>COUNTIF('Survey Responses'!F:F, F606)</f>
        <v/>
      </c>
    </row>
    <row r="607">
      <c r="A607" s="10" t="n">
        <v>606</v>
      </c>
      <c r="B607" s="11" t="inlineStr">
        <is>
          <t>Chandpur (GEN-A)</t>
        </is>
      </c>
      <c r="C607" s="11" t="inlineStr">
        <is>
          <t>Mr. Md. Iffat Hassan</t>
        </is>
      </c>
      <c r="D607" s="11" t="inlineStr">
        <is>
          <t>Ramganj GEN-A-1</t>
        </is>
      </c>
      <c r="E607" s="11" t="inlineStr">
        <is>
          <t>Md. Rezaul Karim</t>
        </is>
      </c>
      <c r="F607" s="10" t="n">
        <v>10899</v>
      </c>
      <c r="G607" s="11" t="inlineStr">
        <is>
          <t>Raipur-2</t>
        </is>
      </c>
      <c r="H607" s="10" t="n">
        <v>931</v>
      </c>
      <c r="I607" s="11" t="inlineStr">
        <is>
          <t>Md. Shafiqul Islam</t>
        </is>
      </c>
      <c r="J607" s="10">
        <f>IF(K607&gt;0, "Completed", "Pending")</f>
        <v/>
      </c>
      <c r="K607" s="10">
        <f>COUNTIF('Survey Responses'!F:F, F607)</f>
        <v/>
      </c>
    </row>
    <row r="608">
      <c r="A608" s="10" t="n">
        <v>607</v>
      </c>
      <c r="B608" s="11" t="inlineStr">
        <is>
          <t>Chandpur (GEN-A)</t>
        </is>
      </c>
      <c r="C608" s="11" t="inlineStr">
        <is>
          <t>Mr. Md. Iffat Hassan</t>
        </is>
      </c>
      <c r="D608" s="11" t="inlineStr">
        <is>
          <t>Ramganj GEN-A-1</t>
        </is>
      </c>
      <c r="E608" s="11" t="inlineStr">
        <is>
          <t>Md. Rezaul Karim</t>
        </is>
      </c>
      <c r="F608" s="10" t="n">
        <v>10900</v>
      </c>
      <c r="G608" s="11" t="inlineStr">
        <is>
          <t>Raipur-3</t>
        </is>
      </c>
      <c r="H608" s="10" t="n">
        <v>8778</v>
      </c>
      <c r="I608" s="11" t="inlineStr">
        <is>
          <t>Mr. Md. Parves Hossain</t>
        </is>
      </c>
      <c r="J608" s="10">
        <f>IF(K608&gt;0, "Completed", "Pending")</f>
        <v/>
      </c>
      <c r="K608" s="10">
        <f>COUNTIF('Survey Responses'!F:F, F608)</f>
        <v/>
      </c>
    </row>
    <row r="609">
      <c r="A609" s="10" t="n">
        <v>608</v>
      </c>
      <c r="B609" s="11" t="inlineStr">
        <is>
          <t>Chandpur (GEN-A)</t>
        </is>
      </c>
      <c r="C609" s="11" t="inlineStr">
        <is>
          <t>Mr. Md. Iffat Hassan</t>
        </is>
      </c>
      <c r="D609" s="11" t="inlineStr">
        <is>
          <t>Ramganj GEN-A-1</t>
        </is>
      </c>
      <c r="E609" s="11" t="inlineStr">
        <is>
          <t>Md. Rezaul Karim</t>
        </is>
      </c>
      <c r="F609" s="10" t="n">
        <v>13197</v>
      </c>
      <c r="G609" s="11" t="inlineStr">
        <is>
          <t>Raipur-4</t>
        </is>
      </c>
      <c r="H609" s="10" t="n">
        <v>5810</v>
      </c>
      <c r="I609" s="11" t="inlineStr">
        <is>
          <t>Mr. Md. Shajedur Rahman Sujon</t>
        </is>
      </c>
      <c r="J609" s="10">
        <f>IF(K609&gt;0, "Completed", "Pending")</f>
        <v/>
      </c>
      <c r="K609" s="10">
        <f>COUNTIF('Survey Responses'!F:F, F609)</f>
        <v/>
      </c>
    </row>
    <row r="610">
      <c r="A610" s="10" t="n">
        <v>609</v>
      </c>
      <c r="B610" s="11" t="inlineStr">
        <is>
          <t>Chandpur (GEN-A)</t>
        </is>
      </c>
      <c r="C610" s="11" t="inlineStr">
        <is>
          <t>Mr. Md. Iffat Hassan</t>
        </is>
      </c>
      <c r="D610" s="11" t="inlineStr">
        <is>
          <t>Ramganj GEN-A-1</t>
        </is>
      </c>
      <c r="E610" s="11" t="inlineStr">
        <is>
          <t>Md. Rezaul Karim</t>
        </is>
      </c>
      <c r="F610" s="10" t="n">
        <v>10894</v>
      </c>
      <c r="G610" s="11" t="inlineStr">
        <is>
          <t>Ramgonj-1</t>
        </is>
      </c>
      <c r="H610" s="10" t="n">
        <v>7318</v>
      </c>
      <c r="I610" s="11" t="inlineStr">
        <is>
          <t>Mr. Md. Abdul Kayium</t>
        </is>
      </c>
      <c r="J610" s="10">
        <f>IF(K610&gt;0, "Completed", "Pending")</f>
        <v/>
      </c>
      <c r="K610" s="10">
        <f>COUNTIF('Survey Responses'!F:F, F610)</f>
        <v/>
      </c>
    </row>
    <row r="611">
      <c r="A611" s="10" t="n">
        <v>610</v>
      </c>
      <c r="B611" s="11" t="inlineStr">
        <is>
          <t>Chandpur (GEN-A)</t>
        </is>
      </c>
      <c r="C611" s="11" t="inlineStr">
        <is>
          <t>Mr. Md. Iffat Hassan</t>
        </is>
      </c>
      <c r="D611" s="11" t="inlineStr">
        <is>
          <t>Ramganj GEN-A-1</t>
        </is>
      </c>
      <c r="E611" s="11" t="inlineStr">
        <is>
          <t>Md. Rezaul Karim</t>
        </is>
      </c>
      <c r="F611" s="10" t="n">
        <v>10895</v>
      </c>
      <c r="G611" s="11" t="inlineStr">
        <is>
          <t>Ramgonj-2</t>
        </is>
      </c>
      <c r="H611" s="10" t="n">
        <v>1249</v>
      </c>
      <c r="I611" s="11" t="inlineStr">
        <is>
          <t>Md. Mahfuzur Rahman</t>
        </is>
      </c>
      <c r="J611" s="10">
        <f>IF(K611&gt;0, "Completed", "Pending")</f>
        <v/>
      </c>
      <c r="K611" s="10">
        <f>COUNTIF('Survey Responses'!F:F, F611)</f>
        <v/>
      </c>
    </row>
    <row r="612">
      <c r="A612" s="10" t="n">
        <v>611</v>
      </c>
      <c r="B612" s="11" t="inlineStr">
        <is>
          <t>Chandpur (GEN-A)</t>
        </is>
      </c>
      <c r="C612" s="11" t="inlineStr">
        <is>
          <t>Mr. Md. Iffat Hassan</t>
        </is>
      </c>
      <c r="D612" s="11" t="inlineStr">
        <is>
          <t>Ramganj GEN-A-1</t>
        </is>
      </c>
      <c r="E612" s="11" t="inlineStr">
        <is>
          <t>Md. Rezaul Karim</t>
        </is>
      </c>
      <c r="F612" s="10" t="n">
        <v>10896</v>
      </c>
      <c r="G612" s="11" t="inlineStr">
        <is>
          <t>Ramgonj-3</t>
        </is>
      </c>
      <c r="H612" s="10" t="n">
        <v>8321</v>
      </c>
      <c r="I612" s="11" t="inlineStr">
        <is>
          <t>Mr. Md. Masum Rana</t>
        </is>
      </c>
      <c r="J612" s="10">
        <f>IF(K612&gt;0, "Completed", "Pending")</f>
        <v/>
      </c>
      <c r="K612" s="10">
        <f>COUNTIF('Survey Responses'!F:F, F612)</f>
        <v/>
      </c>
    </row>
    <row r="613">
      <c r="A613" s="10" t="n">
        <v>612</v>
      </c>
      <c r="B613" s="11" t="inlineStr">
        <is>
          <t>Chandpur (GEN-A)</t>
        </is>
      </c>
      <c r="C613" s="11" t="inlineStr">
        <is>
          <t>Mr. Md. Iffat Hassan</t>
        </is>
      </c>
      <c r="D613" s="11" t="inlineStr">
        <is>
          <t>Ramganj GEN-A-1</t>
        </is>
      </c>
      <c r="E613" s="11" t="inlineStr">
        <is>
          <t>Md. Rezaul Karim</t>
        </is>
      </c>
      <c r="F613" s="10" t="n">
        <v>13026</v>
      </c>
      <c r="G613" s="11" t="inlineStr">
        <is>
          <t>Ramgonj-4</t>
        </is>
      </c>
      <c r="H613" s="10" t="n">
        <v>7138</v>
      </c>
      <c r="I613" s="11" t="inlineStr">
        <is>
          <t>Mr. Md. Keramot Ali</t>
        </is>
      </c>
      <c r="J613" s="10">
        <f>IF(K613&gt;0, "Completed", "Pending")</f>
        <v/>
      </c>
      <c r="K613" s="10">
        <f>COUNTIF('Survey Responses'!F:F, F613)</f>
        <v/>
      </c>
    </row>
    <row r="614">
      <c r="A614" s="10" t="n">
        <v>613</v>
      </c>
      <c r="B614" s="11" t="inlineStr">
        <is>
          <t>Chandpur (GEN-A)</t>
        </is>
      </c>
      <c r="C614" s="11" t="inlineStr">
        <is>
          <t>Mr. Md. Iffat Hassan</t>
        </is>
      </c>
      <c r="D614" s="11" t="inlineStr">
        <is>
          <t>Sharastee GEN-A-1</t>
        </is>
      </c>
      <c r="E614" s="11" t="inlineStr">
        <is>
          <t>Mr. Md. Abdul Roshid</t>
        </is>
      </c>
      <c r="F614" s="10" t="n">
        <v>10916</v>
      </c>
      <c r="G614" s="11" t="inlineStr">
        <is>
          <t>Kachua-1</t>
        </is>
      </c>
      <c r="H614" s="10" t="n">
        <v>4166</v>
      </c>
      <c r="I614" s="11" t="inlineStr">
        <is>
          <t>Mr. Sakendar Ali</t>
        </is>
      </c>
      <c r="J614" s="10">
        <f>IF(K614&gt;0, "Completed", "Pending")</f>
        <v/>
      </c>
      <c r="K614" s="10">
        <f>COUNTIF('Survey Responses'!F:F, F614)</f>
        <v/>
      </c>
    </row>
    <row r="615">
      <c r="A615" s="10" t="n">
        <v>614</v>
      </c>
      <c r="B615" s="11" t="inlineStr">
        <is>
          <t>Chandpur (GEN-A)</t>
        </is>
      </c>
      <c r="C615" s="11" t="inlineStr">
        <is>
          <t>Mr. Md. Iffat Hassan</t>
        </is>
      </c>
      <c r="D615" s="11" t="inlineStr">
        <is>
          <t>Sharastee GEN-A-1</t>
        </is>
      </c>
      <c r="E615" s="11" t="inlineStr">
        <is>
          <t>Mr. Md. Abdul Roshid</t>
        </is>
      </c>
      <c r="F615" s="10" t="n">
        <v>10918</v>
      </c>
      <c r="G615" s="11" t="inlineStr">
        <is>
          <t>Kachua-2</t>
        </is>
      </c>
      <c r="H615" s="10" t="n">
        <v>1311</v>
      </c>
      <c r="I615" s="11" t="inlineStr">
        <is>
          <t>Sujan Chandro Sarkar</t>
        </is>
      </c>
      <c r="J615" s="10">
        <f>IF(K615&gt;0, "Completed", "Pending")</f>
        <v/>
      </c>
      <c r="K615" s="10">
        <f>COUNTIF('Survey Responses'!F:F, F615)</f>
        <v/>
      </c>
    </row>
    <row r="616">
      <c r="A616" s="10" t="n">
        <v>615</v>
      </c>
      <c r="B616" s="11" t="inlineStr">
        <is>
          <t>Chandpur (GEN-A)</t>
        </is>
      </c>
      <c r="C616" s="11" t="inlineStr">
        <is>
          <t>Mr. Md. Iffat Hassan</t>
        </is>
      </c>
      <c r="D616" s="11" t="inlineStr">
        <is>
          <t>Sharastee GEN-A-1</t>
        </is>
      </c>
      <c r="E616" s="11" t="inlineStr">
        <is>
          <t>Mr. Md. Abdul Roshid</t>
        </is>
      </c>
      <c r="F616" s="10" t="n">
        <v>10921</v>
      </c>
      <c r="G616" s="11" t="inlineStr">
        <is>
          <t>RahimNagar</t>
        </is>
      </c>
      <c r="H616" s="10" t="n">
        <v>8779</v>
      </c>
      <c r="I616" s="11" t="inlineStr">
        <is>
          <t>Mr. T M.Shah Newaj</t>
        </is>
      </c>
      <c r="J616" s="10">
        <f>IF(K616&gt;0, "Completed", "Pending")</f>
        <v/>
      </c>
      <c r="K616" s="10">
        <f>COUNTIF('Survey Responses'!F:F, F616)</f>
        <v/>
      </c>
    </row>
    <row r="617">
      <c r="A617" s="10" t="n">
        <v>616</v>
      </c>
      <c r="B617" s="11" t="inlineStr">
        <is>
          <t>Chandpur (GEN-A)</t>
        </is>
      </c>
      <c r="C617" s="11" t="inlineStr">
        <is>
          <t>Mr. Md. Iffat Hassan</t>
        </is>
      </c>
      <c r="D617" s="11" t="inlineStr">
        <is>
          <t>Sharastee GEN-A-1</t>
        </is>
      </c>
      <c r="E617" s="11" t="inlineStr">
        <is>
          <t>Mr. Md. Abdul Roshid</t>
        </is>
      </c>
      <c r="F617" s="10" t="n">
        <v>12299</v>
      </c>
      <c r="G617" s="11" t="inlineStr">
        <is>
          <t>Sachar-1</t>
        </is>
      </c>
      <c r="H617" s="10" t="n">
        <v>865</v>
      </c>
      <c r="I617" s="11" t="inlineStr">
        <is>
          <t>Md. Faruque Hossain</t>
        </is>
      </c>
      <c r="J617" s="10">
        <f>IF(K617&gt;0, "Completed", "Pending")</f>
        <v/>
      </c>
      <c r="K617" s="10">
        <f>COUNTIF('Survey Responses'!F:F, F617)</f>
        <v/>
      </c>
    </row>
    <row r="618">
      <c r="A618" s="10" t="n">
        <v>617</v>
      </c>
      <c r="B618" s="11" t="inlineStr">
        <is>
          <t>Chandpur (GEN-A)</t>
        </is>
      </c>
      <c r="C618" s="11" t="inlineStr">
        <is>
          <t>Mr. Md. Iffat Hassan</t>
        </is>
      </c>
      <c r="D618" s="11" t="inlineStr">
        <is>
          <t>Sharastee GEN-A-1</t>
        </is>
      </c>
      <c r="E618" s="11" t="inlineStr">
        <is>
          <t>Mr. Md. Abdul Roshid</t>
        </is>
      </c>
      <c r="F618" s="10" t="n">
        <v>13622</v>
      </c>
      <c r="G618" s="11" t="inlineStr">
        <is>
          <t>Sachar-2</t>
        </is>
      </c>
      <c r="H618" s="10" t="n">
        <v>7236</v>
      </c>
      <c r="I618" s="11" t="inlineStr">
        <is>
          <t>Mr. Md. Deluar Hossain</t>
        </is>
      </c>
      <c r="J618" s="10">
        <f>IF(K618&gt;0, "Completed", "Pending")</f>
        <v/>
      </c>
      <c r="K618" s="10">
        <f>COUNTIF('Survey Responses'!F:F, F618)</f>
        <v/>
      </c>
    </row>
    <row r="619">
      <c r="A619" s="10" t="n">
        <v>618</v>
      </c>
      <c r="B619" s="11" t="inlineStr">
        <is>
          <t>Chandpur (GEN-A)</t>
        </is>
      </c>
      <c r="C619" s="11" t="inlineStr">
        <is>
          <t>Mr. Md. Iffat Hassan</t>
        </is>
      </c>
      <c r="D619" s="11" t="inlineStr">
        <is>
          <t>Sharastee GEN-A-1</t>
        </is>
      </c>
      <c r="E619" s="11" t="inlineStr">
        <is>
          <t>Mr. Md. Abdul Roshid</t>
        </is>
      </c>
      <c r="F619" s="10" t="n">
        <v>10888</v>
      </c>
      <c r="G619" s="11" t="inlineStr">
        <is>
          <t>Sharastee-1</t>
        </is>
      </c>
      <c r="H619" s="10" t="n">
        <v>2607</v>
      </c>
      <c r="I619" s="11" t="inlineStr">
        <is>
          <t>Mohammad Ali</t>
        </is>
      </c>
      <c r="J619" s="10">
        <f>IF(K619&gt;0, "Completed", "Pending")</f>
        <v/>
      </c>
      <c r="K619" s="10">
        <f>COUNTIF('Survey Responses'!F:F, F619)</f>
        <v/>
      </c>
    </row>
    <row r="620">
      <c r="A620" s="10" t="n">
        <v>619</v>
      </c>
      <c r="B620" s="11" t="inlineStr">
        <is>
          <t>Chandpur (GEN-A)</t>
        </is>
      </c>
      <c r="C620" s="11" t="inlineStr">
        <is>
          <t>Mr. Md. Iffat Hassan</t>
        </is>
      </c>
      <c r="D620" s="11" t="inlineStr">
        <is>
          <t>Sharastee GEN-A-1</t>
        </is>
      </c>
      <c r="E620" s="11" t="inlineStr">
        <is>
          <t>Mr. Md. Abdul Roshid</t>
        </is>
      </c>
      <c r="F620" s="10" t="n">
        <v>10889</v>
      </c>
      <c r="G620" s="11" t="inlineStr">
        <is>
          <t>Sharastee-2</t>
        </is>
      </c>
      <c r="H620" s="10" t="n">
        <v>947</v>
      </c>
      <c r="I620" s="11" t="inlineStr">
        <is>
          <t>S.M.Imam Hasan</t>
        </is>
      </c>
      <c r="J620" s="10">
        <f>IF(K620&gt;0, "Completed", "Pending")</f>
        <v/>
      </c>
      <c r="K620" s="10">
        <f>COUNTIF('Survey Responses'!F:F, F620)</f>
        <v/>
      </c>
    </row>
    <row r="621">
      <c r="A621" s="10" t="n">
        <v>620</v>
      </c>
      <c r="B621" s="11" t="inlineStr">
        <is>
          <t>Chandpur (GEN-A)</t>
        </is>
      </c>
      <c r="C621" s="11" t="inlineStr">
        <is>
          <t>Mr. Md. Iffat Hassan</t>
        </is>
      </c>
      <c r="D621" s="11" t="inlineStr">
        <is>
          <t>Sharastee GEN-A-1</t>
        </is>
      </c>
      <c r="E621" s="11" t="inlineStr">
        <is>
          <t>Mr. Md. Abdul Roshid</t>
        </is>
      </c>
      <c r="F621" s="10" t="n">
        <v>12221</v>
      </c>
      <c r="G621" s="11" t="inlineStr">
        <is>
          <t>Sharastee-3</t>
        </is>
      </c>
      <c r="H621" s="10" t="n">
        <v>3601</v>
      </c>
      <c r="I621" s="11" t="inlineStr">
        <is>
          <t>Mr. Palas Chandra</t>
        </is>
      </c>
      <c r="J621" s="10">
        <f>IF(K621&gt;0, "Completed", "Pending")</f>
        <v/>
      </c>
      <c r="K621" s="10">
        <f>COUNTIF('Survey Responses'!F:F, F621)</f>
        <v/>
      </c>
    </row>
    <row r="622">
      <c r="A622" s="10" t="n">
        <v>621</v>
      </c>
      <c r="B622" s="11" t="inlineStr">
        <is>
          <t>Cumilla (GEN-A)</t>
        </is>
      </c>
      <c r="C622" s="11" t="inlineStr">
        <is>
          <t>Mr. Asaduzzaman Khan</t>
        </is>
      </c>
      <c r="D622" s="11" t="inlineStr">
        <is>
          <t>Barura GEN-A-1</t>
        </is>
      </c>
      <c r="E622" s="11" t="inlineStr">
        <is>
          <t>Mr. Md. Habibur Rahman</t>
        </is>
      </c>
      <c r="F622" s="10" t="n">
        <v>10917</v>
      </c>
      <c r="G622" s="11" t="inlineStr">
        <is>
          <t>Barura-1</t>
        </is>
      </c>
      <c r="H622" s="10" t="n">
        <v>7037</v>
      </c>
      <c r="I622" s="11" t="inlineStr">
        <is>
          <t>Mr. Md. Atiqur Rahman</t>
        </is>
      </c>
      <c r="J622" s="10">
        <f>IF(K622&gt;0, "Completed", "Pending")</f>
        <v/>
      </c>
      <c r="K622" s="10">
        <f>COUNTIF('Survey Responses'!F:F, F622)</f>
        <v/>
      </c>
    </row>
    <row r="623">
      <c r="A623" s="10" t="n">
        <v>622</v>
      </c>
      <c r="B623" s="11" t="inlineStr">
        <is>
          <t>Cumilla (GEN-A)</t>
        </is>
      </c>
      <c r="C623" s="11" t="inlineStr">
        <is>
          <t>Mr. Asaduzzaman Khan</t>
        </is>
      </c>
      <c r="D623" s="11" t="inlineStr">
        <is>
          <t>Barura GEN-A-1</t>
        </is>
      </c>
      <c r="E623" s="11" t="inlineStr">
        <is>
          <t>Mr. Md. Habibur Rahman</t>
        </is>
      </c>
      <c r="F623" s="10" t="n">
        <v>10920</v>
      </c>
      <c r="G623" s="11" t="inlineStr">
        <is>
          <t>Barura-2</t>
        </is>
      </c>
      <c r="H623" s="10" t="n">
        <v>1596</v>
      </c>
      <c r="I623" s="11" t="inlineStr">
        <is>
          <t>Md. Jobdul Haque</t>
        </is>
      </c>
      <c r="J623" s="10">
        <f>IF(K623&gt;0, "Completed", "Pending")</f>
        <v/>
      </c>
      <c r="K623" s="10">
        <f>COUNTIF('Survey Responses'!F:F, F623)</f>
        <v/>
      </c>
    </row>
    <row r="624">
      <c r="A624" s="10" t="n">
        <v>623</v>
      </c>
      <c r="B624" s="11" t="inlineStr">
        <is>
          <t>Cumilla (GEN-A)</t>
        </is>
      </c>
      <c r="C624" s="11" t="inlineStr">
        <is>
          <t>Mr. Asaduzzaman Khan</t>
        </is>
      </c>
      <c r="D624" s="11" t="inlineStr">
        <is>
          <t>Barura GEN-A-1</t>
        </is>
      </c>
      <c r="E624" s="11" t="inlineStr">
        <is>
          <t>Mr. Md. Habibur Rahman</t>
        </is>
      </c>
      <c r="F624" s="10" t="n">
        <v>10922</v>
      </c>
      <c r="G624" s="11" t="inlineStr">
        <is>
          <t>Barura-3</t>
        </is>
      </c>
      <c r="H624" s="10" t="n">
        <v>5329</v>
      </c>
      <c r="I624" s="11" t="inlineStr">
        <is>
          <t>Mr. Riad Al Hasan</t>
        </is>
      </c>
      <c r="J624" s="10">
        <f>IF(K624&gt;0, "Completed", "Pending")</f>
        <v/>
      </c>
      <c r="K624" s="10">
        <f>COUNTIF('Survey Responses'!F:F, F624)</f>
        <v/>
      </c>
    </row>
    <row r="625">
      <c r="A625" s="10" t="n">
        <v>624</v>
      </c>
      <c r="B625" s="11" t="inlineStr">
        <is>
          <t>Cumilla (GEN-A)</t>
        </is>
      </c>
      <c r="C625" s="11" t="inlineStr">
        <is>
          <t>Mr. Asaduzzaman Khan</t>
        </is>
      </c>
      <c r="D625" s="11" t="inlineStr">
        <is>
          <t>Barura GEN-A-1</t>
        </is>
      </c>
      <c r="E625" s="11" t="inlineStr">
        <is>
          <t>Mr. Md. Habibur Rahman</t>
        </is>
      </c>
      <c r="F625" s="10" t="n">
        <v>10944</v>
      </c>
      <c r="G625" s="11" t="inlineStr">
        <is>
          <t>Bizra</t>
        </is>
      </c>
      <c r="H625" s="10" t="n">
        <v>3970</v>
      </c>
      <c r="I625" s="11" t="inlineStr">
        <is>
          <t>Mr. Tomas Chandra Sarkar</t>
        </is>
      </c>
      <c r="J625" s="10">
        <f>IF(K625&gt;0, "Completed", "Pending")</f>
        <v/>
      </c>
      <c r="K625" s="10">
        <f>COUNTIF('Survey Responses'!F:F, F625)</f>
        <v/>
      </c>
    </row>
    <row r="626">
      <c r="A626" s="10" t="n">
        <v>625</v>
      </c>
      <c r="B626" s="11" t="inlineStr">
        <is>
          <t>Cumilla (GEN-A)</t>
        </is>
      </c>
      <c r="C626" s="11" t="inlineStr">
        <is>
          <t>Mr. Asaduzzaman Khan</t>
        </is>
      </c>
      <c r="D626" s="11" t="inlineStr">
        <is>
          <t>Barura GEN-A-1</t>
        </is>
      </c>
      <c r="E626" s="11" t="inlineStr">
        <is>
          <t>Mr. Md. Habibur Rahman</t>
        </is>
      </c>
      <c r="F626" s="10" t="n">
        <v>13266</v>
      </c>
      <c r="G626" s="11" t="inlineStr">
        <is>
          <t>Chitoishi-1</t>
        </is>
      </c>
      <c r="H626" s="10" t="n">
        <v>3146</v>
      </c>
      <c r="I626" s="11" t="inlineStr">
        <is>
          <t>Mr. Md. Arshad Ali</t>
        </is>
      </c>
      <c r="J626" s="10">
        <f>IF(K626&gt;0, "Completed", "Pending")</f>
        <v/>
      </c>
      <c r="K626" s="10">
        <f>COUNTIF('Survey Responses'!F:F, F626)</f>
        <v/>
      </c>
    </row>
    <row r="627">
      <c r="A627" s="10" t="n">
        <v>626</v>
      </c>
      <c r="B627" s="11" t="inlineStr">
        <is>
          <t>Cumilla (GEN-A)</t>
        </is>
      </c>
      <c r="C627" s="11" t="inlineStr">
        <is>
          <t>Mr. Asaduzzaman Khan</t>
        </is>
      </c>
      <c r="D627" s="11" t="inlineStr">
        <is>
          <t>Barura GEN-A-1</t>
        </is>
      </c>
      <c r="E627" s="11" t="inlineStr">
        <is>
          <t>Mr. Md. Habibur Rahman</t>
        </is>
      </c>
      <c r="F627" s="10" t="n">
        <v>12883</v>
      </c>
      <c r="G627" s="11" t="inlineStr">
        <is>
          <t>Modafforgonj-2</t>
        </is>
      </c>
      <c r="H627" s="10" t="n">
        <v>5134</v>
      </c>
      <c r="I627" s="11" t="inlineStr">
        <is>
          <t>Mr. Wasim Akram</t>
        </is>
      </c>
      <c r="J627" s="10">
        <f>IF(K627&gt;0, "Completed", "Pending")</f>
        <v/>
      </c>
      <c r="K627" s="10">
        <f>COUNTIF('Survey Responses'!F:F, F627)</f>
        <v/>
      </c>
    </row>
    <row r="628">
      <c r="A628" s="10" t="n">
        <v>627</v>
      </c>
      <c r="B628" s="11" t="inlineStr">
        <is>
          <t>Cumilla (GEN-A)</t>
        </is>
      </c>
      <c r="C628" s="11" t="inlineStr">
        <is>
          <t>Mr. Asaduzzaman Khan</t>
        </is>
      </c>
      <c r="D628" s="11" t="inlineStr">
        <is>
          <t>Barura GEN-A-1</t>
        </is>
      </c>
      <c r="E628" s="11" t="inlineStr">
        <is>
          <t>Mr. Md. Habibur Rahman</t>
        </is>
      </c>
      <c r="F628" s="10" t="n">
        <v>10919</v>
      </c>
      <c r="G628" s="11" t="inlineStr">
        <is>
          <t>Moddaforgonj</t>
        </is>
      </c>
      <c r="H628" s="10" t="n">
        <v>6282</v>
      </c>
      <c r="I628" s="11" t="inlineStr">
        <is>
          <t>Mr. Dilip Paramanya</t>
        </is>
      </c>
      <c r="J628" s="10">
        <f>IF(K628&gt;0, "Completed", "Pending")</f>
        <v/>
      </c>
      <c r="K628" s="10">
        <f>COUNTIF('Survey Responses'!F:F, F628)</f>
        <v/>
      </c>
    </row>
    <row r="629">
      <c r="A629" s="10" t="n">
        <v>628</v>
      </c>
      <c r="B629" s="11" t="inlineStr">
        <is>
          <t>Cumilla (GEN-A)</t>
        </is>
      </c>
      <c r="C629" s="11" t="inlineStr">
        <is>
          <t>Mr. Asaduzzaman Khan</t>
        </is>
      </c>
      <c r="D629" s="11" t="inlineStr">
        <is>
          <t>Cumilla Cantonment GEN-A-1</t>
        </is>
      </c>
      <c r="E629" s="11" t="inlineStr">
        <is>
          <t>Muhammad Asaduzzaman</t>
        </is>
      </c>
      <c r="F629" s="10" t="n">
        <v>10929</v>
      </c>
      <c r="G629" s="11" t="inlineStr">
        <is>
          <t>Brahman Para-1</t>
        </is>
      </c>
      <c r="H629" s="10" t="n">
        <v>1752</v>
      </c>
      <c r="I629" s="11" t="inlineStr">
        <is>
          <t>Md. Azizul Islam</t>
        </is>
      </c>
      <c r="J629" s="10">
        <f>IF(K629&gt;0, "Completed", "Pending")</f>
        <v/>
      </c>
      <c r="K629" s="10">
        <f>COUNTIF('Survey Responses'!F:F, F629)</f>
        <v/>
      </c>
    </row>
    <row r="630">
      <c r="A630" s="10" t="n">
        <v>629</v>
      </c>
      <c r="B630" s="11" t="inlineStr">
        <is>
          <t>Cumilla (GEN-A)</t>
        </is>
      </c>
      <c r="C630" s="11" t="inlineStr">
        <is>
          <t>Mr. Asaduzzaman Khan</t>
        </is>
      </c>
      <c r="D630" s="11" t="inlineStr">
        <is>
          <t>Cumilla Cantonment GEN-A-1</t>
        </is>
      </c>
      <c r="E630" s="11" t="inlineStr">
        <is>
          <t>Muhammad Asaduzzaman</t>
        </is>
      </c>
      <c r="F630" s="10" t="n">
        <v>12676</v>
      </c>
      <c r="G630" s="11" t="inlineStr">
        <is>
          <t>Brahman Para-2</t>
        </is>
      </c>
      <c r="H630" s="10" t="n">
        <v>1802</v>
      </c>
      <c r="I630" s="11" t="inlineStr">
        <is>
          <t>Md. Shahjahan Ali</t>
        </is>
      </c>
      <c r="J630" s="10">
        <f>IF(K630&gt;0, "Completed", "Pending")</f>
        <v/>
      </c>
      <c r="K630" s="10">
        <f>COUNTIF('Survey Responses'!F:F, F630)</f>
        <v/>
      </c>
    </row>
    <row r="631">
      <c r="A631" s="10" t="n">
        <v>630</v>
      </c>
      <c r="B631" s="11" t="inlineStr">
        <is>
          <t>Cumilla (GEN-A)</t>
        </is>
      </c>
      <c r="C631" s="11" t="inlineStr">
        <is>
          <t>Mr. Asaduzzaman Khan</t>
        </is>
      </c>
      <c r="D631" s="11" t="inlineStr">
        <is>
          <t>Cumilla Cantonment GEN-A-1</t>
        </is>
      </c>
      <c r="E631" s="11" t="inlineStr">
        <is>
          <t>Muhammad Asaduzzaman</t>
        </is>
      </c>
      <c r="F631" s="10" t="n">
        <v>10935</v>
      </c>
      <c r="G631" s="11" t="inlineStr">
        <is>
          <t>Buriarchong-1</t>
        </is>
      </c>
      <c r="H631" s="10" t="n">
        <v>2161</v>
      </c>
      <c r="I631" s="11" t="inlineStr">
        <is>
          <t xml:space="preserve">Md. Ariful                    </t>
        </is>
      </c>
      <c r="J631" s="10">
        <f>IF(K631&gt;0, "Completed", "Pending")</f>
        <v/>
      </c>
      <c r="K631" s="10">
        <f>COUNTIF('Survey Responses'!F:F, F631)</f>
        <v/>
      </c>
    </row>
    <row r="632">
      <c r="A632" s="10" t="n">
        <v>631</v>
      </c>
      <c r="B632" s="11" t="inlineStr">
        <is>
          <t>Cumilla (GEN-A)</t>
        </is>
      </c>
      <c r="C632" s="11" t="inlineStr">
        <is>
          <t>Mr. Asaduzzaman Khan</t>
        </is>
      </c>
      <c r="D632" s="11" t="inlineStr">
        <is>
          <t>Cumilla Cantonment GEN-A-1</t>
        </is>
      </c>
      <c r="E632" s="11" t="inlineStr">
        <is>
          <t>Muhammad Asaduzzaman</t>
        </is>
      </c>
      <c r="F632" s="10" t="n">
        <v>10936</v>
      </c>
      <c r="G632" s="11" t="inlineStr">
        <is>
          <t>Buriarchong-2</t>
        </is>
      </c>
      <c r="H632" s="10" t="n">
        <v>7059</v>
      </c>
      <c r="I632" s="11" t="inlineStr">
        <is>
          <t>Mr. Md. Mahfujur Rahman</t>
        </is>
      </c>
      <c r="J632" s="10">
        <f>IF(K632&gt;0, "Completed", "Pending")</f>
        <v/>
      </c>
      <c r="K632" s="10">
        <f>COUNTIF('Survey Responses'!F:F, F632)</f>
        <v/>
      </c>
    </row>
    <row r="633">
      <c r="A633" s="10" t="n">
        <v>632</v>
      </c>
      <c r="B633" s="11" t="inlineStr">
        <is>
          <t>Cumilla (GEN-A)</t>
        </is>
      </c>
      <c r="C633" s="11" t="inlineStr">
        <is>
          <t>Mr. Asaduzzaman Khan</t>
        </is>
      </c>
      <c r="D633" s="11" t="inlineStr">
        <is>
          <t>Cumilla Cantonment GEN-A-1</t>
        </is>
      </c>
      <c r="E633" s="11" t="inlineStr">
        <is>
          <t>Muhammad Asaduzzaman</t>
        </is>
      </c>
      <c r="F633" s="10" t="n">
        <v>10951</v>
      </c>
      <c r="G633" s="11" t="inlineStr">
        <is>
          <t>Cumilla (Cantonment)-1</t>
        </is>
      </c>
      <c r="H633" s="10" t="n">
        <v>1668</v>
      </c>
      <c r="I633" s="11" t="inlineStr">
        <is>
          <t>Md. Shofiqul Islam</t>
        </is>
      </c>
      <c r="J633" s="10">
        <f>IF(K633&gt;0, "Completed", "Pending")</f>
        <v/>
      </c>
      <c r="K633" s="10">
        <f>COUNTIF('Survey Responses'!F:F, F633)</f>
        <v/>
      </c>
    </row>
    <row r="634">
      <c r="A634" s="10" t="n">
        <v>633</v>
      </c>
      <c r="B634" s="11" t="inlineStr">
        <is>
          <t>Cumilla (GEN-A)</t>
        </is>
      </c>
      <c r="C634" s="11" t="inlineStr">
        <is>
          <t>Mr. Asaduzzaman Khan</t>
        </is>
      </c>
      <c r="D634" s="11" t="inlineStr">
        <is>
          <t>Cumilla Cantonment GEN-A-1</t>
        </is>
      </c>
      <c r="E634" s="11" t="inlineStr">
        <is>
          <t>Muhammad Asaduzzaman</t>
        </is>
      </c>
      <c r="F634" s="10" t="n">
        <v>10945</v>
      </c>
      <c r="G634" s="11" t="inlineStr">
        <is>
          <t>Cumilla (Cantonment)-2</t>
        </is>
      </c>
      <c r="H634" s="10" t="n">
        <v>5289</v>
      </c>
      <c r="I634" s="11" t="inlineStr">
        <is>
          <t>Mr. Md. Mamunur Rashid</t>
        </is>
      </c>
      <c r="J634" s="10">
        <f>IF(K634&gt;0, "Completed", "Pending")</f>
        <v/>
      </c>
      <c r="K634" s="10">
        <f>COUNTIF('Survey Responses'!F:F, F634)</f>
        <v/>
      </c>
    </row>
    <row r="635">
      <c r="A635" s="10" t="n">
        <v>634</v>
      </c>
      <c r="B635" s="11" t="inlineStr">
        <is>
          <t>Cumilla (GEN-A)</t>
        </is>
      </c>
      <c r="C635" s="11" t="inlineStr">
        <is>
          <t>Mr. Asaduzzaman Khan</t>
        </is>
      </c>
      <c r="D635" s="11" t="inlineStr">
        <is>
          <t>Cumilla Cantonment GEN-A-1</t>
        </is>
      </c>
      <c r="E635" s="11" t="inlineStr">
        <is>
          <t>Muhammad Asaduzzaman</t>
        </is>
      </c>
      <c r="F635" s="10" t="n">
        <v>13050</v>
      </c>
      <c r="G635" s="11" t="inlineStr">
        <is>
          <t>Cumilla (Cantonment)-3</t>
        </is>
      </c>
      <c r="H635" s="10" t="n">
        <v>6414</v>
      </c>
      <c r="I635" s="11" t="inlineStr">
        <is>
          <t>Mr. Md. Ashif Howlader</t>
        </is>
      </c>
      <c r="J635" s="10">
        <f>IF(K635&gt;0, "Completed", "Pending")</f>
        <v/>
      </c>
      <c r="K635" s="10">
        <f>COUNTIF('Survey Responses'!F:F, F635)</f>
        <v/>
      </c>
    </row>
    <row r="636">
      <c r="A636" s="10" t="n">
        <v>635</v>
      </c>
      <c r="B636" s="11" t="inlineStr">
        <is>
          <t>Cumilla (GEN-A)</t>
        </is>
      </c>
      <c r="C636" s="11" t="inlineStr">
        <is>
          <t>Mr. Asaduzzaman Khan</t>
        </is>
      </c>
      <c r="D636" s="11" t="inlineStr">
        <is>
          <t>Cumilla Cantonment GEN-A-1</t>
        </is>
      </c>
      <c r="E636" s="11" t="inlineStr">
        <is>
          <t>Muhammad Asaduzzaman</t>
        </is>
      </c>
      <c r="F636" s="10" t="n">
        <v>12899</v>
      </c>
      <c r="G636" s="11" t="inlineStr">
        <is>
          <t>Kongshonagar</t>
        </is>
      </c>
      <c r="H636" s="10" t="n">
        <v>713</v>
      </c>
      <c r="I636" s="11" t="inlineStr">
        <is>
          <t>Md. Abul Kalam Azad</t>
        </is>
      </c>
      <c r="J636" s="10">
        <f>IF(K636&gt;0, "Completed", "Pending")</f>
        <v/>
      </c>
      <c r="K636" s="10">
        <f>COUNTIF('Survey Responses'!F:F, F636)</f>
        <v/>
      </c>
    </row>
    <row r="637">
      <c r="A637" s="10" t="n">
        <v>636</v>
      </c>
      <c r="B637" s="11" t="inlineStr">
        <is>
          <t>Cumilla (GEN-A)</t>
        </is>
      </c>
      <c r="C637" s="11" t="inlineStr">
        <is>
          <t>Mr. Asaduzzaman Khan</t>
        </is>
      </c>
      <c r="D637" s="11" t="inlineStr">
        <is>
          <t>Cumilla GEN-A-1</t>
        </is>
      </c>
      <c r="E637" s="11" t="inlineStr">
        <is>
          <t>Md. Alamgir Hossain</t>
        </is>
      </c>
      <c r="F637" s="10" t="n">
        <v>11669</v>
      </c>
      <c r="G637" s="11" t="inlineStr">
        <is>
          <t>Central Medical (Paduar Bazar)</t>
        </is>
      </c>
      <c r="H637" s="10" t="n">
        <v>1435</v>
      </c>
      <c r="I637" s="11" t="inlineStr">
        <is>
          <t>Md. Jahangir Alam</t>
        </is>
      </c>
      <c r="J637" s="10">
        <f>IF(K637&gt;0, "Completed", "Pending")</f>
        <v/>
      </c>
      <c r="K637" s="10">
        <f>COUNTIF('Survey Responses'!F:F, F637)</f>
        <v/>
      </c>
    </row>
    <row r="638">
      <c r="A638" s="10" t="n">
        <v>637</v>
      </c>
      <c r="B638" s="11" t="inlineStr">
        <is>
          <t>Cumilla (GEN-A)</t>
        </is>
      </c>
      <c r="C638" s="11" t="inlineStr">
        <is>
          <t>Mr. Asaduzzaman Khan</t>
        </is>
      </c>
      <c r="D638" s="11" t="inlineStr">
        <is>
          <t>Cumilla GEN-A-1</t>
        </is>
      </c>
      <c r="E638" s="11" t="inlineStr">
        <is>
          <t>Md. Alamgir Hossain</t>
        </is>
      </c>
      <c r="F638" s="10" t="n">
        <v>10943</v>
      </c>
      <c r="G638" s="11" t="inlineStr">
        <is>
          <t>Cumilla (Paduar Bazar)</t>
        </is>
      </c>
      <c r="H638" s="10" t="n">
        <v>1171</v>
      </c>
      <c r="I638" s="11" t="inlineStr">
        <is>
          <t>Mohammad Zahidul Islam</t>
        </is>
      </c>
      <c r="J638" s="10">
        <f>IF(K638&gt;0, "Completed", "Pending")</f>
        <v/>
      </c>
      <c r="K638" s="10">
        <f>COUNTIF('Survey Responses'!F:F, F638)</f>
        <v/>
      </c>
    </row>
    <row r="639">
      <c r="A639" s="10" t="n">
        <v>638</v>
      </c>
      <c r="B639" s="11" t="inlineStr">
        <is>
          <t>Cumilla (GEN-A)</t>
        </is>
      </c>
      <c r="C639" s="11" t="inlineStr">
        <is>
          <t>Mr. Asaduzzaman Khan</t>
        </is>
      </c>
      <c r="D639" s="11" t="inlineStr">
        <is>
          <t>Cumilla GEN-A-1</t>
        </is>
      </c>
      <c r="E639" s="11" t="inlineStr">
        <is>
          <t>Md. Alamgir Hossain</t>
        </is>
      </c>
      <c r="F639" s="10" t="n">
        <v>10925</v>
      </c>
      <c r="G639" s="11" t="inlineStr">
        <is>
          <t>Cumilla (Racecourse)</t>
        </is>
      </c>
      <c r="H639" s="10" t="n">
        <v>2388</v>
      </c>
      <c r="I639" s="11" t="inlineStr">
        <is>
          <t>Md. Shafiqul Islam</t>
        </is>
      </c>
      <c r="J639" s="10">
        <f>IF(K639&gt;0, "Completed", "Pending")</f>
        <v/>
      </c>
      <c r="K639" s="10">
        <f>COUNTIF('Survey Responses'!F:F, F639)</f>
        <v/>
      </c>
    </row>
    <row r="640">
      <c r="A640" s="10" t="n">
        <v>639</v>
      </c>
      <c r="B640" s="11" t="inlineStr">
        <is>
          <t>Cumilla (GEN-A)</t>
        </is>
      </c>
      <c r="C640" s="11" t="inlineStr">
        <is>
          <t>Mr. Asaduzzaman Khan</t>
        </is>
      </c>
      <c r="D640" s="11" t="inlineStr">
        <is>
          <t>Cumilla GEN-A-1</t>
        </is>
      </c>
      <c r="E640" s="11" t="inlineStr">
        <is>
          <t>Md. Alamgir Hossain</t>
        </is>
      </c>
      <c r="F640" s="10" t="n">
        <v>10926</v>
      </c>
      <c r="G640" s="11" t="inlineStr">
        <is>
          <t>Cumilla Diabetic Hosp-1</t>
        </is>
      </c>
      <c r="H640" s="10" t="n">
        <v>5006</v>
      </c>
      <c r="I640" s="11" t="inlineStr">
        <is>
          <t>Mr. Sohag Debnath</t>
        </is>
      </c>
      <c r="J640" s="10">
        <f>IF(K640&gt;0, "Completed", "Pending")</f>
        <v/>
      </c>
      <c r="K640" s="10">
        <f>COUNTIF('Survey Responses'!F:F, F640)</f>
        <v/>
      </c>
    </row>
    <row r="641">
      <c r="A641" s="10" t="n">
        <v>640</v>
      </c>
      <c r="B641" s="11" t="inlineStr">
        <is>
          <t>Cumilla (GEN-A)</t>
        </is>
      </c>
      <c r="C641" s="11" t="inlineStr">
        <is>
          <t>Mr. Asaduzzaman Khan</t>
        </is>
      </c>
      <c r="D641" s="11" t="inlineStr">
        <is>
          <t>Cumilla GEN-A-1</t>
        </is>
      </c>
      <c r="E641" s="11" t="inlineStr">
        <is>
          <t>Md. Alamgir Hossain</t>
        </is>
      </c>
      <c r="F641" s="10" t="n">
        <v>10942</v>
      </c>
      <c r="G641" s="11" t="inlineStr">
        <is>
          <t>Cumilla Tomson Bridge</t>
        </is>
      </c>
      <c r="H641" s="10" t="n">
        <v>3188</v>
      </c>
      <c r="I641" s="11" t="inlineStr">
        <is>
          <t>Md. Anwar Hossain</t>
        </is>
      </c>
      <c r="J641" s="10">
        <f>IF(K641&gt;0, "Completed", "Pending")</f>
        <v/>
      </c>
      <c r="K641" s="10">
        <f>COUNTIF('Survey Responses'!F:F, F641)</f>
        <v/>
      </c>
    </row>
    <row r="642">
      <c r="A642" s="10" t="n">
        <v>641</v>
      </c>
      <c r="B642" s="11" t="inlineStr">
        <is>
          <t>Cumilla (GEN-A)</t>
        </is>
      </c>
      <c r="C642" s="11" t="inlineStr">
        <is>
          <t>Mr. Asaduzzaman Khan</t>
        </is>
      </c>
      <c r="D642" s="11" t="inlineStr">
        <is>
          <t>Cumilla GEN-A-1</t>
        </is>
      </c>
      <c r="E642" s="11" t="inlineStr">
        <is>
          <t>Md. Alamgir Hossain</t>
        </is>
      </c>
      <c r="F642" s="10" t="n">
        <v>10986</v>
      </c>
      <c r="G642" s="11" t="inlineStr">
        <is>
          <t>Munshirhat-1</t>
        </is>
      </c>
      <c r="H642" s="10" t="n">
        <v>978</v>
      </c>
      <c r="I642" s="11" t="inlineStr">
        <is>
          <t>Md. Abdul Mottalib</t>
        </is>
      </c>
      <c r="J642" s="10">
        <f>IF(K642&gt;0, "Completed", "Pending")</f>
        <v/>
      </c>
      <c r="K642" s="10">
        <f>COUNTIF('Survey Responses'!F:F, F642)</f>
        <v/>
      </c>
    </row>
    <row r="643">
      <c r="A643" s="10" t="n">
        <v>642</v>
      </c>
      <c r="B643" s="11" t="inlineStr">
        <is>
          <t>Cumilla (GEN-A)</t>
        </is>
      </c>
      <c r="C643" s="11" t="inlineStr">
        <is>
          <t>Mr. Asaduzzaman Khan</t>
        </is>
      </c>
      <c r="D643" s="11" t="inlineStr">
        <is>
          <t>Cumilla GEN-A-1</t>
        </is>
      </c>
      <c r="E643" s="11" t="inlineStr">
        <is>
          <t>Md. Alamgir Hossain</t>
        </is>
      </c>
      <c r="F643" s="10" t="n">
        <v>13240</v>
      </c>
      <c r="G643" s="11" t="inlineStr">
        <is>
          <t>Munshirhat-2</t>
        </is>
      </c>
      <c r="H643" s="10" t="n">
        <v>8836</v>
      </c>
      <c r="I643" s="11" t="inlineStr">
        <is>
          <t>Mr. Sarowar Hosen</t>
        </is>
      </c>
      <c r="J643" s="10">
        <f>IF(K643&gt;0, "Completed", "Pending")</f>
        <v/>
      </c>
      <c r="K643" s="10">
        <f>COUNTIF('Survey Responses'!F:F, F643)</f>
        <v/>
      </c>
    </row>
    <row r="644">
      <c r="A644" s="10" t="n">
        <v>643</v>
      </c>
      <c r="B644" s="11" t="inlineStr">
        <is>
          <t>Cumilla (GEN-A)</t>
        </is>
      </c>
      <c r="C644" s="11" t="inlineStr">
        <is>
          <t>Mr. Asaduzzaman Khan</t>
        </is>
      </c>
      <c r="D644" s="11" t="inlineStr">
        <is>
          <t>Cumilla GEN-A-3</t>
        </is>
      </c>
      <c r="E644" s="11" t="inlineStr">
        <is>
          <t>Md. Mozammel Haque</t>
        </is>
      </c>
      <c r="F644" s="10" t="n">
        <v>10933</v>
      </c>
      <c r="G644" s="11" t="inlineStr">
        <is>
          <t>Cumilla (C.D. Path)-1</t>
        </is>
      </c>
      <c r="H644" s="10" t="n">
        <v>1629</v>
      </c>
      <c r="I644" s="11" t="inlineStr">
        <is>
          <t>Md. Harun Or Rashid</t>
        </is>
      </c>
      <c r="J644" s="10">
        <f>IF(K644&gt;0, "Completed", "Pending")</f>
        <v/>
      </c>
      <c r="K644" s="10">
        <f>COUNTIF('Survey Responses'!F:F, F644)</f>
        <v/>
      </c>
    </row>
    <row r="645">
      <c r="A645" s="10" t="n">
        <v>644</v>
      </c>
      <c r="B645" s="11" t="inlineStr">
        <is>
          <t>Cumilla (GEN-A)</t>
        </is>
      </c>
      <c r="C645" s="11" t="inlineStr">
        <is>
          <t>Mr. Asaduzzaman Khan</t>
        </is>
      </c>
      <c r="D645" s="11" t="inlineStr">
        <is>
          <t>Cumilla GEN-A-3</t>
        </is>
      </c>
      <c r="E645" s="11" t="inlineStr">
        <is>
          <t>Md. Mozammel Haque</t>
        </is>
      </c>
      <c r="F645" s="10" t="n">
        <v>10934</v>
      </c>
      <c r="G645" s="11" t="inlineStr">
        <is>
          <t>Cumilla (C.D. Path)-2</t>
        </is>
      </c>
      <c r="H645" s="10" t="n">
        <v>4038</v>
      </c>
      <c r="I645" s="11" t="inlineStr">
        <is>
          <t>Md. Sultan Ali</t>
        </is>
      </c>
      <c r="J645" s="10">
        <f>IF(K645&gt;0, "Completed", "Pending")</f>
        <v/>
      </c>
      <c r="K645" s="10">
        <f>COUNTIF('Survey Responses'!F:F, F645)</f>
        <v/>
      </c>
    </row>
    <row r="646">
      <c r="A646" s="10" t="n">
        <v>645</v>
      </c>
      <c r="B646" s="11" t="inlineStr">
        <is>
          <t>Cumilla (GEN-A)</t>
        </is>
      </c>
      <c r="C646" s="11" t="inlineStr">
        <is>
          <t>Mr. Asaduzzaman Khan</t>
        </is>
      </c>
      <c r="D646" s="11" t="inlineStr">
        <is>
          <t>Cumilla GEN-A-3</t>
        </is>
      </c>
      <c r="E646" s="11" t="inlineStr">
        <is>
          <t>Md. Mozammel Haque</t>
        </is>
      </c>
      <c r="F646" s="10" t="n">
        <v>10931</v>
      </c>
      <c r="G646" s="11" t="inlineStr">
        <is>
          <t>Cumilla (Cumilla Tower)</t>
        </is>
      </c>
      <c r="H646" s="10" t="n">
        <v>7504</v>
      </c>
      <c r="I646" s="11" t="inlineStr">
        <is>
          <t>Mr. Protik Kumar Sarkar</t>
        </is>
      </c>
      <c r="J646" s="10">
        <f>IF(K646&gt;0, "Completed", "Pending")</f>
        <v/>
      </c>
      <c r="K646" s="10">
        <f>COUNTIF('Survey Responses'!F:F, F646)</f>
        <v/>
      </c>
    </row>
    <row r="647">
      <c r="A647" s="10" t="n">
        <v>646</v>
      </c>
      <c r="B647" s="11" t="inlineStr">
        <is>
          <t>Cumilla (GEN-A)</t>
        </is>
      </c>
      <c r="C647" s="11" t="inlineStr">
        <is>
          <t>Mr. Asaduzzaman Khan</t>
        </is>
      </c>
      <c r="D647" s="11" t="inlineStr">
        <is>
          <t>Cumilla GEN-A-3</t>
        </is>
      </c>
      <c r="E647" s="11" t="inlineStr">
        <is>
          <t>Md. Mozammel Haque</t>
        </is>
      </c>
      <c r="F647" s="10" t="n">
        <v>13056</v>
      </c>
      <c r="G647" s="11" t="inlineStr">
        <is>
          <t>Cumilla (Labaid)</t>
        </is>
      </c>
      <c r="H647" s="10" t="n">
        <v>5389</v>
      </c>
      <c r="I647" s="11" t="inlineStr">
        <is>
          <t>Md. Saddam Hossain</t>
        </is>
      </c>
      <c r="J647" s="10">
        <f>IF(K647&gt;0, "Completed", "Pending")</f>
        <v/>
      </c>
      <c r="K647" s="10">
        <f>COUNTIF('Survey Responses'!F:F, F647)</f>
        <v/>
      </c>
    </row>
    <row r="648">
      <c r="A648" s="10" t="n">
        <v>647</v>
      </c>
      <c r="B648" s="11" t="inlineStr">
        <is>
          <t>Cumilla (GEN-A)</t>
        </is>
      </c>
      <c r="C648" s="11" t="inlineStr">
        <is>
          <t>Mr. Asaduzzaman Khan</t>
        </is>
      </c>
      <c r="D648" s="11" t="inlineStr">
        <is>
          <t>Cumilla GEN-A-3</t>
        </is>
      </c>
      <c r="E648" s="11" t="inlineStr">
        <is>
          <t>Md. Mozammel Haque</t>
        </is>
      </c>
      <c r="F648" s="10" t="n">
        <v>12290</v>
      </c>
      <c r="G648" s="11" t="inlineStr">
        <is>
          <t>Cumilla Diabetic Hosp-2</t>
        </is>
      </c>
      <c r="H648" s="10" t="n">
        <v>7410</v>
      </c>
      <c r="I648" s="11" t="inlineStr">
        <is>
          <t>Mr. Abdullah Hil Asfamin</t>
        </is>
      </c>
      <c r="J648" s="10">
        <f>IF(K648&gt;0, "Completed", "Pending")</f>
        <v/>
      </c>
      <c r="K648" s="10">
        <f>COUNTIF('Survey Responses'!F:F, F648)</f>
        <v/>
      </c>
    </row>
    <row r="649">
      <c r="A649" s="10" t="n">
        <v>648</v>
      </c>
      <c r="B649" s="11" t="inlineStr">
        <is>
          <t>Cumilla (GEN-A)</t>
        </is>
      </c>
      <c r="C649" s="11" t="inlineStr">
        <is>
          <t>Mr. Asaduzzaman Khan</t>
        </is>
      </c>
      <c r="D649" s="11" t="inlineStr">
        <is>
          <t>Cumilla GEN-A-3</t>
        </is>
      </c>
      <c r="E649" s="11" t="inlineStr">
        <is>
          <t>Md. Mozammel Haque</t>
        </is>
      </c>
      <c r="F649" s="10" t="n">
        <v>10930</v>
      </c>
      <c r="G649" s="11" t="inlineStr">
        <is>
          <t>Cumilla Laksham Road</t>
        </is>
      </c>
      <c r="H649" s="10" t="n">
        <v>6707</v>
      </c>
      <c r="I649" s="11" t="inlineStr">
        <is>
          <t>Mr. Md. Anwarul Haque</t>
        </is>
      </c>
      <c r="J649" s="10">
        <f>IF(K649&gt;0, "Completed", "Pending")</f>
        <v/>
      </c>
      <c r="K649" s="10">
        <f>COUNTIF('Survey Responses'!F:F, F649)</f>
        <v/>
      </c>
    </row>
    <row r="650">
      <c r="A650" s="10" t="n">
        <v>649</v>
      </c>
      <c r="B650" s="11" t="inlineStr">
        <is>
          <t>Cumilla (GEN-A)</t>
        </is>
      </c>
      <c r="C650" s="11" t="inlineStr">
        <is>
          <t>Mr. Asaduzzaman Khan</t>
        </is>
      </c>
      <c r="D650" s="11" t="inlineStr">
        <is>
          <t>Cumilla GEN-A-3</t>
        </is>
      </c>
      <c r="E650" s="11" t="inlineStr">
        <is>
          <t>Md. Mozammel Haque</t>
        </is>
      </c>
      <c r="F650" s="10" t="n">
        <v>13174</v>
      </c>
      <c r="G650" s="11" t="inlineStr">
        <is>
          <t>Kashinagar-1</t>
        </is>
      </c>
      <c r="H650" s="10" t="n">
        <v>5798</v>
      </c>
      <c r="I650" s="11" t="inlineStr">
        <is>
          <t>Mr. Md. Mahbub Hosen</t>
        </is>
      </c>
      <c r="J650" s="10">
        <f>IF(K650&gt;0, "Completed", "Pending")</f>
        <v/>
      </c>
      <c r="K650" s="10">
        <f>COUNTIF('Survey Responses'!F:F, F650)</f>
        <v/>
      </c>
    </row>
    <row r="651">
      <c r="A651" s="10" t="n">
        <v>650</v>
      </c>
      <c r="B651" s="11" t="inlineStr">
        <is>
          <t>Cumilla (GEN-A)</t>
        </is>
      </c>
      <c r="C651" s="11" t="inlineStr">
        <is>
          <t>Mr. Asaduzzaman Khan</t>
        </is>
      </c>
      <c r="D651" s="11" t="inlineStr">
        <is>
          <t>Cumilla GEN-A-3</t>
        </is>
      </c>
      <c r="E651" s="11" t="inlineStr">
        <is>
          <t>Md. Mozammel Haque</t>
        </is>
      </c>
      <c r="F651" s="10" t="n">
        <v>10941</v>
      </c>
      <c r="G651" s="11" t="inlineStr">
        <is>
          <t>Suagazi</t>
        </is>
      </c>
      <c r="H651" s="10" t="n">
        <v>1170</v>
      </c>
      <c r="I651" s="11" t="inlineStr">
        <is>
          <t>Shibpada Sarker</t>
        </is>
      </c>
      <c r="J651" s="10">
        <f>IF(K651&gt;0, "Completed", "Pending")</f>
        <v/>
      </c>
      <c r="K651" s="10">
        <f>COUNTIF('Survey Responses'!F:F, F651)</f>
        <v/>
      </c>
    </row>
    <row r="652">
      <c r="A652" s="10" t="n">
        <v>651</v>
      </c>
      <c r="B652" s="11" t="inlineStr">
        <is>
          <t>Cumilla (GEN-A)</t>
        </is>
      </c>
      <c r="C652" s="11" t="inlineStr">
        <is>
          <t>Mr. Asaduzzaman Khan</t>
        </is>
      </c>
      <c r="D652" s="11" t="inlineStr">
        <is>
          <t>Debidwar GEN-A-1</t>
        </is>
      </c>
      <c r="E652" s="11" t="inlineStr">
        <is>
          <t>Mr. Nikhil Kumar Roy</t>
        </is>
      </c>
      <c r="F652" s="10" t="n">
        <v>13313</v>
      </c>
      <c r="G652" s="11" t="inlineStr">
        <is>
          <t>Bhangora</t>
        </is>
      </c>
      <c r="H652" s="10" t="n">
        <v>5924</v>
      </c>
      <c r="I652" s="11" t="inlineStr">
        <is>
          <t>Mr. Md. Shimul Raihan</t>
        </is>
      </c>
      <c r="J652" s="10">
        <f>IF(K652&gt;0, "Completed", "Pending")</f>
        <v/>
      </c>
      <c r="K652" s="10">
        <f>COUNTIF('Survey Responses'!F:F, F652)</f>
        <v/>
      </c>
    </row>
    <row r="653">
      <c r="A653" s="10" t="n">
        <v>652</v>
      </c>
      <c r="B653" s="11" t="inlineStr">
        <is>
          <t>Cumilla (GEN-A)</t>
        </is>
      </c>
      <c r="C653" s="11" t="inlineStr">
        <is>
          <t>Mr. Asaduzzaman Khan</t>
        </is>
      </c>
      <c r="D653" s="11" t="inlineStr">
        <is>
          <t>Debidwar GEN-A-1</t>
        </is>
      </c>
      <c r="E653" s="11" t="inlineStr">
        <is>
          <t>Mr. Nikhil Kumar Roy</t>
        </is>
      </c>
      <c r="F653" s="10" t="n">
        <v>10953</v>
      </c>
      <c r="G653" s="11" t="inlineStr">
        <is>
          <t>Debidwar-1</t>
        </is>
      </c>
      <c r="H653" s="10" t="n">
        <v>929</v>
      </c>
      <c r="I653" s="11" t="inlineStr">
        <is>
          <t>Mr. Jobayer Ahmed</t>
        </is>
      </c>
      <c r="J653" s="10">
        <f>IF(K653&gt;0, "Completed", "Pending")</f>
        <v/>
      </c>
      <c r="K653" s="10">
        <f>COUNTIF('Survey Responses'!F:F, F653)</f>
        <v/>
      </c>
    </row>
    <row r="654">
      <c r="A654" s="10" t="n">
        <v>653</v>
      </c>
      <c r="B654" s="11" t="inlineStr">
        <is>
          <t>Cumilla (GEN-A)</t>
        </is>
      </c>
      <c r="C654" s="11" t="inlineStr">
        <is>
          <t>Mr. Asaduzzaman Khan</t>
        </is>
      </c>
      <c r="D654" s="11" t="inlineStr">
        <is>
          <t>Debidwar GEN-A-1</t>
        </is>
      </c>
      <c r="E654" s="11" t="inlineStr">
        <is>
          <t>Mr. Nikhil Kumar Roy</t>
        </is>
      </c>
      <c r="F654" s="10" t="n">
        <v>10952</v>
      </c>
      <c r="G654" s="11" t="inlineStr">
        <is>
          <t>Debidwar-2</t>
        </is>
      </c>
      <c r="H654" s="10" t="n">
        <v>1775</v>
      </c>
      <c r="I654" s="11" t="inlineStr">
        <is>
          <t>Shibnath Kumar Saha</t>
        </is>
      </c>
      <c r="J654" s="10">
        <f>IF(K654&gt;0, "Completed", "Pending")</f>
        <v/>
      </c>
      <c r="K654" s="10">
        <f>COUNTIF('Survey Responses'!F:F, F654)</f>
        <v/>
      </c>
    </row>
    <row r="655">
      <c r="A655" s="10" t="n">
        <v>654</v>
      </c>
      <c r="B655" s="11" t="inlineStr">
        <is>
          <t>Cumilla (GEN-A)</t>
        </is>
      </c>
      <c r="C655" s="11" t="inlineStr">
        <is>
          <t>Mr. Asaduzzaman Khan</t>
        </is>
      </c>
      <c r="D655" s="11" t="inlineStr">
        <is>
          <t>Debidwar GEN-A-1</t>
        </is>
      </c>
      <c r="E655" s="11" t="inlineStr">
        <is>
          <t>Mr. Nikhil Kumar Roy</t>
        </is>
      </c>
      <c r="F655" s="10" t="n">
        <v>10954</v>
      </c>
      <c r="G655" s="11" t="inlineStr">
        <is>
          <t>Debidwar-3</t>
        </is>
      </c>
      <c r="H655" s="10" t="n">
        <v>7058</v>
      </c>
      <c r="I655" s="11" t="inlineStr">
        <is>
          <t>Mr. Md. Mizanur Rahman</t>
        </is>
      </c>
      <c r="J655" s="10">
        <f>IF(K655&gt;0, "Completed", "Pending")</f>
        <v/>
      </c>
      <c r="K655" s="10">
        <f>COUNTIF('Survey Responses'!F:F, F655)</f>
        <v/>
      </c>
    </row>
    <row r="656">
      <c r="A656" s="10" t="n">
        <v>655</v>
      </c>
      <c r="B656" s="11" t="inlineStr">
        <is>
          <t>Cumilla (GEN-A)</t>
        </is>
      </c>
      <c r="C656" s="11" t="inlineStr">
        <is>
          <t>Mr. Asaduzzaman Khan</t>
        </is>
      </c>
      <c r="D656" s="11" t="inlineStr">
        <is>
          <t>Debidwar GEN-A-1</t>
        </is>
      </c>
      <c r="E656" s="11" t="inlineStr">
        <is>
          <t>Mr. Nikhil Kumar Roy</t>
        </is>
      </c>
      <c r="F656" s="10" t="n">
        <v>10955</v>
      </c>
      <c r="G656" s="11" t="inlineStr">
        <is>
          <t>Debidwar-4</t>
        </is>
      </c>
      <c r="H656" s="10" t="n">
        <v>2856</v>
      </c>
      <c r="I656" s="11" t="inlineStr">
        <is>
          <t>Md. Aktaruzzaman</t>
        </is>
      </c>
      <c r="J656" s="10">
        <f>IF(K656&gt;0, "Completed", "Pending")</f>
        <v/>
      </c>
      <c r="K656" s="10">
        <f>COUNTIF('Survey Responses'!F:F, F656)</f>
        <v/>
      </c>
    </row>
    <row r="657">
      <c r="A657" s="10" t="n">
        <v>656</v>
      </c>
      <c r="B657" s="11" t="inlineStr">
        <is>
          <t>Cumilla (GEN-A)</t>
        </is>
      </c>
      <c r="C657" s="11" t="inlineStr">
        <is>
          <t>Mr. Asaduzzaman Khan</t>
        </is>
      </c>
      <c r="D657" s="11" t="inlineStr">
        <is>
          <t>Debidwar GEN-A-1</t>
        </is>
      </c>
      <c r="E657" s="11" t="inlineStr">
        <is>
          <t>Mr. Nikhil Kumar Roy</t>
        </is>
      </c>
      <c r="F657" s="10" t="n">
        <v>10956</v>
      </c>
      <c r="G657" s="11" t="inlineStr">
        <is>
          <t>Debidwar-5</t>
        </is>
      </c>
      <c r="H657" s="10" t="n">
        <v>8771</v>
      </c>
      <c r="I657" s="11" t="inlineStr">
        <is>
          <t>Mr. Enamul Haque</t>
        </is>
      </c>
      <c r="J657" s="10">
        <f>IF(K657&gt;0, "Completed", "Pending")</f>
        <v/>
      </c>
      <c r="K657" s="10">
        <f>COUNTIF('Survey Responses'!F:F, F657)</f>
        <v/>
      </c>
    </row>
    <row r="658">
      <c r="A658" s="10" t="n">
        <v>657</v>
      </c>
      <c r="B658" s="11" t="inlineStr">
        <is>
          <t>Cumilla (GEN-A)</t>
        </is>
      </c>
      <c r="C658" s="11" t="inlineStr">
        <is>
          <t>Mr. Asaduzzaman Khan</t>
        </is>
      </c>
      <c r="D658" s="11" t="inlineStr">
        <is>
          <t>Debidwar GEN-A-1</t>
        </is>
      </c>
      <c r="E658" s="11" t="inlineStr">
        <is>
          <t>Mr. Nikhil Kumar Roy</t>
        </is>
      </c>
      <c r="F658" s="10" t="n">
        <v>10957</v>
      </c>
      <c r="G658" s="11" t="inlineStr">
        <is>
          <t>Muradnagar-1</t>
        </is>
      </c>
      <c r="H658" s="10" t="n">
        <v>4170</v>
      </c>
      <c r="I658" s="11" t="inlineStr">
        <is>
          <t>Mr. Md. Mominur Islam</t>
        </is>
      </c>
      <c r="J658" s="10">
        <f>IF(K658&gt;0, "Completed", "Pending")</f>
        <v/>
      </c>
      <c r="K658" s="10">
        <f>COUNTIF('Survey Responses'!F:F, F658)</f>
        <v/>
      </c>
    </row>
    <row r="659">
      <c r="A659" s="10" t="n">
        <v>658</v>
      </c>
      <c r="B659" s="11" t="inlineStr">
        <is>
          <t>Cumilla (GEN-A)</t>
        </is>
      </c>
      <c r="C659" s="11" t="inlineStr">
        <is>
          <t>Mr. Asaduzzaman Khan</t>
        </is>
      </c>
      <c r="D659" s="11" t="inlineStr">
        <is>
          <t>Debidwar GEN-A-1</t>
        </is>
      </c>
      <c r="E659" s="11" t="inlineStr">
        <is>
          <t>Mr. Nikhil Kumar Roy</t>
        </is>
      </c>
      <c r="F659" s="10" t="n">
        <v>10958</v>
      </c>
      <c r="G659" s="11" t="inlineStr">
        <is>
          <t>Muradnagar-2</t>
        </is>
      </c>
      <c r="H659" s="10" t="n">
        <v>1572</v>
      </c>
      <c r="I659" s="11" t="inlineStr">
        <is>
          <t>Faruk Hossain</t>
        </is>
      </c>
      <c r="J659" s="10">
        <f>IF(K659&gt;0, "Completed", "Pending")</f>
        <v/>
      </c>
      <c r="K659" s="10">
        <f>COUNTIF('Survey Responses'!F:F, F659)</f>
        <v/>
      </c>
    </row>
    <row r="660">
      <c r="A660" s="10" t="n">
        <v>659</v>
      </c>
      <c r="B660" s="11" t="inlineStr">
        <is>
          <t>Cumilla (GEN-A)</t>
        </is>
      </c>
      <c r="C660" s="11" t="inlineStr">
        <is>
          <t>Mr. Asaduzzaman Khan</t>
        </is>
      </c>
      <c r="D660" s="11" t="inlineStr">
        <is>
          <t>Debidwar GEN-A-1</t>
        </is>
      </c>
      <c r="E660" s="11" t="inlineStr">
        <is>
          <t>Mr. Nikhil Kumar Roy</t>
        </is>
      </c>
      <c r="F660" s="10" t="n">
        <v>12647</v>
      </c>
      <c r="G660" s="11" t="inlineStr">
        <is>
          <t>Ramchandrapur-1</t>
        </is>
      </c>
      <c r="H660" s="10" t="n">
        <v>1483</v>
      </c>
      <c r="I660" s="11" t="inlineStr">
        <is>
          <t>Md. Rabiul Awal</t>
        </is>
      </c>
      <c r="J660" s="10">
        <f>IF(K660&gt;0, "Completed", "Pending")</f>
        <v/>
      </c>
      <c r="K660" s="10">
        <f>COUNTIF('Survey Responses'!F:F, F660)</f>
        <v/>
      </c>
    </row>
    <row r="661">
      <c r="A661" s="10" t="n">
        <v>660</v>
      </c>
      <c r="B661" s="11" t="inlineStr">
        <is>
          <t>Cumilla (GEN-A)</t>
        </is>
      </c>
      <c r="C661" s="11" t="inlineStr">
        <is>
          <t>Mr. Asaduzzaman Khan</t>
        </is>
      </c>
      <c r="D661" s="11" t="inlineStr">
        <is>
          <t>Laksham GEN-A-1</t>
        </is>
      </c>
      <c r="E661" s="11" t="inlineStr">
        <is>
          <t>Mr. Md. Kabir Hossen</t>
        </is>
      </c>
      <c r="F661" s="10" t="n">
        <v>10992</v>
      </c>
      <c r="G661" s="11" t="inlineStr">
        <is>
          <t>Laksham-1</t>
        </is>
      </c>
      <c r="H661" s="10" t="n">
        <v>3045</v>
      </c>
      <c r="I661" s="11" t="inlineStr">
        <is>
          <t>Md. Darus Salam</t>
        </is>
      </c>
      <c r="J661" s="10">
        <f>IF(K661&gt;0, "Completed", "Pending")</f>
        <v/>
      </c>
      <c r="K661" s="10">
        <f>COUNTIF('Survey Responses'!F:F, F661)</f>
        <v/>
      </c>
    </row>
    <row r="662">
      <c r="A662" s="10" t="n">
        <v>661</v>
      </c>
      <c r="B662" s="11" t="inlineStr">
        <is>
          <t>Cumilla (GEN-A)</t>
        </is>
      </c>
      <c r="C662" s="11" t="inlineStr">
        <is>
          <t>Mr. Asaduzzaman Khan</t>
        </is>
      </c>
      <c r="D662" s="11" t="inlineStr">
        <is>
          <t>Laksham GEN-A-1</t>
        </is>
      </c>
      <c r="E662" s="11" t="inlineStr">
        <is>
          <t>Mr. Md. Kabir Hossen</t>
        </is>
      </c>
      <c r="F662" s="10" t="n">
        <v>10993</v>
      </c>
      <c r="G662" s="11" t="inlineStr">
        <is>
          <t>Laksham-2</t>
        </is>
      </c>
      <c r="H662" s="10" t="n">
        <v>5972</v>
      </c>
      <c r="I662" s="11" t="inlineStr">
        <is>
          <t>Md. Al-Amin</t>
        </is>
      </c>
      <c r="J662" s="10">
        <f>IF(K662&gt;0, "Completed", "Pending")</f>
        <v/>
      </c>
      <c r="K662" s="10">
        <f>COUNTIF('Survey Responses'!F:F, F662)</f>
        <v/>
      </c>
    </row>
    <row r="663">
      <c r="A663" s="10" t="n">
        <v>662</v>
      </c>
      <c r="B663" s="11" t="inlineStr">
        <is>
          <t>Cumilla (GEN-A)</t>
        </is>
      </c>
      <c r="C663" s="11" t="inlineStr">
        <is>
          <t>Mr. Asaduzzaman Khan</t>
        </is>
      </c>
      <c r="D663" s="11" t="inlineStr">
        <is>
          <t>Laksham GEN-A-1</t>
        </is>
      </c>
      <c r="E663" s="11" t="inlineStr">
        <is>
          <t>Mr. Md. Kabir Hossen</t>
        </is>
      </c>
      <c r="F663" s="10" t="n">
        <v>10994</v>
      </c>
      <c r="G663" s="11" t="inlineStr">
        <is>
          <t>Laksham-3</t>
        </is>
      </c>
      <c r="H663" s="10" t="n">
        <v>1468</v>
      </c>
      <c r="I663" s="11" t="inlineStr">
        <is>
          <t>Md. Hafizur Rahman</t>
        </is>
      </c>
      <c r="J663" s="10">
        <f>IF(K663&gt;0, "Completed", "Pending")</f>
        <v/>
      </c>
      <c r="K663" s="10">
        <f>COUNTIF('Survey Responses'!F:F, F663)</f>
        <v/>
      </c>
    </row>
    <row r="664">
      <c r="A664" s="10" t="n">
        <v>663</v>
      </c>
      <c r="B664" s="11" t="inlineStr">
        <is>
          <t>Cumilla (GEN-A)</t>
        </is>
      </c>
      <c r="C664" s="11" t="inlineStr">
        <is>
          <t>Mr. Asaduzzaman Khan</t>
        </is>
      </c>
      <c r="D664" s="11" t="inlineStr">
        <is>
          <t>Laksham GEN-A-1</t>
        </is>
      </c>
      <c r="E664" s="11" t="inlineStr">
        <is>
          <t>Mr. Md. Kabir Hossen</t>
        </is>
      </c>
      <c r="F664" s="10" t="n">
        <v>10995</v>
      </c>
      <c r="G664" s="11" t="inlineStr">
        <is>
          <t>Laksham-4</t>
        </is>
      </c>
      <c r="H664" s="10" t="n">
        <v>1547</v>
      </c>
      <c r="I664" s="11" t="inlineStr">
        <is>
          <t>Ahsan Habib</t>
        </is>
      </c>
      <c r="J664" s="10">
        <f>IF(K664&gt;0, "Completed", "Pending")</f>
        <v/>
      </c>
      <c r="K664" s="10">
        <f>COUNTIF('Survey Responses'!F:F, F664)</f>
        <v/>
      </c>
    </row>
    <row r="665">
      <c r="A665" s="10" t="n">
        <v>664</v>
      </c>
      <c r="B665" s="11" t="inlineStr">
        <is>
          <t>Cumilla (GEN-A)</t>
        </is>
      </c>
      <c r="C665" s="11" t="inlineStr">
        <is>
          <t>Mr. Asaduzzaman Khan</t>
        </is>
      </c>
      <c r="D665" s="11" t="inlineStr">
        <is>
          <t>Laksham GEN-A-1</t>
        </is>
      </c>
      <c r="E665" s="11" t="inlineStr">
        <is>
          <t>Mr. Md. Kabir Hossen</t>
        </is>
      </c>
      <c r="F665" s="10" t="n">
        <v>10996</v>
      </c>
      <c r="G665" s="11" t="inlineStr">
        <is>
          <t>Laksham-5</t>
        </is>
      </c>
      <c r="H665" s="10" t="n">
        <v>6553</v>
      </c>
      <c r="I665" s="11" t="inlineStr">
        <is>
          <t>Mr. Md. Rashedul Islam</t>
        </is>
      </c>
      <c r="J665" s="10">
        <f>IF(K665&gt;0, "Completed", "Pending")</f>
        <v/>
      </c>
      <c r="K665" s="10">
        <f>COUNTIF('Survey Responses'!F:F, F665)</f>
        <v/>
      </c>
    </row>
    <row r="666">
      <c r="A666" s="10" t="n">
        <v>665</v>
      </c>
      <c r="B666" s="11" t="inlineStr">
        <is>
          <t>Cumilla (GEN-A)</t>
        </is>
      </c>
      <c r="C666" s="11" t="inlineStr">
        <is>
          <t>Mr. Asaduzzaman Khan</t>
        </is>
      </c>
      <c r="D666" s="11" t="inlineStr">
        <is>
          <t>Laksham GEN-A-1</t>
        </is>
      </c>
      <c r="E666" s="11" t="inlineStr">
        <is>
          <t>Mr. Md. Kabir Hossen</t>
        </is>
      </c>
      <c r="F666" s="10" t="n">
        <v>13108</v>
      </c>
      <c r="G666" s="11" t="inlineStr">
        <is>
          <t>Laksham-6</t>
        </is>
      </c>
      <c r="H666" s="10" t="n">
        <v>5693</v>
      </c>
      <c r="I666" s="11" t="inlineStr">
        <is>
          <t>Mr. Md. Ashraful Haque</t>
        </is>
      </c>
      <c r="J666" s="10">
        <f>IF(K666&gt;0, "Completed", "Pending")</f>
        <v/>
      </c>
      <c r="K666" s="10">
        <f>COUNTIF('Survey Responses'!F:F, F666)</f>
        <v/>
      </c>
    </row>
    <row r="667">
      <c r="A667" s="10" t="n">
        <v>666</v>
      </c>
      <c r="B667" s="11" t="inlineStr">
        <is>
          <t>Cumilla (GEN-A)</t>
        </is>
      </c>
      <c r="C667" s="11" t="inlineStr">
        <is>
          <t>Mr. Asaduzzaman Khan</t>
        </is>
      </c>
      <c r="D667" s="11" t="inlineStr">
        <is>
          <t>Laksham GEN-A-1</t>
        </is>
      </c>
      <c r="E667" s="11" t="inlineStr">
        <is>
          <t>Mr. Md. Kabir Hossen</t>
        </is>
      </c>
      <c r="F667" s="10" t="n">
        <v>14613</v>
      </c>
      <c r="G667" s="11" t="inlineStr">
        <is>
          <t>Laksham-7</t>
        </is>
      </c>
      <c r="H667" s="10" t="n">
        <v>7678</v>
      </c>
      <c r="I667" s="11" t="inlineStr">
        <is>
          <t>Mr. Jewel Rana</t>
        </is>
      </c>
      <c r="J667" s="10">
        <f>IF(K667&gt;0, "Completed", "Pending")</f>
        <v/>
      </c>
      <c r="K667" s="10">
        <f>COUNTIF('Survey Responses'!F:F, F667)</f>
        <v/>
      </c>
    </row>
    <row r="668">
      <c r="A668" s="10" t="n">
        <v>667</v>
      </c>
      <c r="B668" s="11" t="inlineStr">
        <is>
          <t>Cumilla-B (GEN-A)</t>
        </is>
      </c>
      <c r="C668" s="11" t="inlineStr">
        <is>
          <t>Mr. Md. Abdur Rashid</t>
        </is>
      </c>
      <c r="D668" s="11" t="inlineStr">
        <is>
          <t>Chandina GEN-A-1</t>
        </is>
      </c>
      <c r="E668" s="11" t="inlineStr">
        <is>
          <t>Mr. Bishwajit Kaviraj</t>
        </is>
      </c>
      <c r="F668" s="10" t="n">
        <v>10950</v>
      </c>
      <c r="G668" s="11" t="inlineStr">
        <is>
          <t>Chandina-1</t>
        </is>
      </c>
      <c r="H668" s="10" t="n">
        <v>2103</v>
      </c>
      <c r="I668" s="11" t="inlineStr">
        <is>
          <t>Md. Shafikul Islam</t>
        </is>
      </c>
      <c r="J668" s="10">
        <f>IF(K668&gt;0, "Completed", "Pending")</f>
        <v/>
      </c>
      <c r="K668" s="10">
        <f>COUNTIF('Survey Responses'!F:F, F668)</f>
        <v/>
      </c>
    </row>
    <row r="669">
      <c r="A669" s="10" t="n">
        <v>668</v>
      </c>
      <c r="B669" s="11" t="inlineStr">
        <is>
          <t>Cumilla-B (GEN-A)</t>
        </is>
      </c>
      <c r="C669" s="11" t="inlineStr">
        <is>
          <t>Mr. Md. Abdur Rashid</t>
        </is>
      </c>
      <c r="D669" s="11" t="inlineStr">
        <is>
          <t>Chandina GEN-A-1</t>
        </is>
      </c>
      <c r="E669" s="11" t="inlineStr">
        <is>
          <t>Mr. Bishwajit Kaviraj</t>
        </is>
      </c>
      <c r="F669" s="10" t="n">
        <v>13644</v>
      </c>
      <c r="G669" s="11" t="inlineStr">
        <is>
          <t>Chandina-5</t>
        </is>
      </c>
      <c r="H669" s="10" t="n">
        <v>7574</v>
      </c>
      <c r="I669" s="11" t="inlineStr">
        <is>
          <t>Mr. Salman Hossain</t>
        </is>
      </c>
      <c r="J669" s="10">
        <f>IF(K669&gt;0, "Completed", "Pending")</f>
        <v/>
      </c>
      <c r="K669" s="10">
        <f>COUNTIF('Survey Responses'!F:F, F669)</f>
        <v/>
      </c>
    </row>
    <row r="670">
      <c r="A670" s="10" t="n">
        <v>669</v>
      </c>
      <c r="B670" s="11" t="inlineStr">
        <is>
          <t>Cumilla-B (GEN-A)</t>
        </is>
      </c>
      <c r="C670" s="11" t="inlineStr">
        <is>
          <t>Mr. Md. Abdur Rashid</t>
        </is>
      </c>
      <c r="D670" s="11" t="inlineStr">
        <is>
          <t>Chandina GEN-A-1</t>
        </is>
      </c>
      <c r="E670" s="11" t="inlineStr">
        <is>
          <t>Mr. Bishwajit Kaviraj</t>
        </is>
      </c>
      <c r="F670" s="10" t="n">
        <v>14843</v>
      </c>
      <c r="G670" s="11" t="inlineStr">
        <is>
          <t>Chandina-6</t>
        </is>
      </c>
      <c r="H670" s="10" t="n">
        <v>8934</v>
      </c>
      <c r="I670" s="11" t="inlineStr">
        <is>
          <t>Mr. Aslam Hossain</t>
        </is>
      </c>
      <c r="J670" s="10">
        <f>IF(K670&gt;0, "Completed", "Pending")</f>
        <v/>
      </c>
      <c r="K670" s="10">
        <f>COUNTIF('Survey Responses'!F:F, F670)</f>
        <v/>
      </c>
    </row>
    <row r="671">
      <c r="A671" s="10" t="n">
        <v>670</v>
      </c>
      <c r="B671" s="11" t="inlineStr">
        <is>
          <t>Cumilla-B (GEN-A)</t>
        </is>
      </c>
      <c r="C671" s="11" t="inlineStr">
        <is>
          <t>Mr. Md. Abdur Rashid</t>
        </is>
      </c>
      <c r="D671" s="11" t="inlineStr">
        <is>
          <t>Chandina GEN-A-1</t>
        </is>
      </c>
      <c r="E671" s="11" t="inlineStr">
        <is>
          <t>Mr. Bishwajit Kaviraj</t>
        </is>
      </c>
      <c r="F671" s="10" t="n">
        <v>10948</v>
      </c>
      <c r="G671" s="11" t="inlineStr">
        <is>
          <t>Eliotgonj-1</t>
        </is>
      </c>
      <c r="H671" s="10" t="n">
        <v>1749</v>
      </c>
      <c r="I671" s="11" t="inlineStr">
        <is>
          <t>Md. Sumon Ali</t>
        </is>
      </c>
      <c r="J671" s="10">
        <f>IF(K671&gt;0, "Completed", "Pending")</f>
        <v/>
      </c>
      <c r="K671" s="10">
        <f>COUNTIF('Survey Responses'!F:F, F671)</f>
        <v/>
      </c>
    </row>
    <row r="672">
      <c r="A672" s="10" t="n">
        <v>671</v>
      </c>
      <c r="B672" s="11" t="inlineStr">
        <is>
          <t>Cumilla-B (GEN-A)</t>
        </is>
      </c>
      <c r="C672" s="11" t="inlineStr">
        <is>
          <t>Mr. Md. Abdur Rashid</t>
        </is>
      </c>
      <c r="D672" s="11" t="inlineStr">
        <is>
          <t>Chandina GEN-A-1</t>
        </is>
      </c>
      <c r="E672" s="11" t="inlineStr">
        <is>
          <t>Mr. Bishwajit Kaviraj</t>
        </is>
      </c>
      <c r="F672" s="10" t="n">
        <v>12338</v>
      </c>
      <c r="G672" s="11" t="inlineStr">
        <is>
          <t>Eliotgonj-2</t>
        </is>
      </c>
      <c r="H672" s="10" t="n">
        <v>3021</v>
      </c>
      <c r="I672" s="11" t="inlineStr">
        <is>
          <t>Md. Rabiul Islam</t>
        </is>
      </c>
      <c r="J672" s="10">
        <f>IF(K672&gt;0, "Completed", "Pending")</f>
        <v/>
      </c>
      <c r="K672" s="10">
        <f>COUNTIF('Survey Responses'!F:F, F672)</f>
        <v/>
      </c>
    </row>
    <row r="673">
      <c r="A673" s="10" t="n">
        <v>672</v>
      </c>
      <c r="B673" s="11" t="inlineStr">
        <is>
          <t>Cumilla-B (GEN-A)</t>
        </is>
      </c>
      <c r="C673" s="11" t="inlineStr">
        <is>
          <t>Mr. Md. Abdur Rashid</t>
        </is>
      </c>
      <c r="D673" s="11" t="inlineStr">
        <is>
          <t>Chandina GEN-A-1</t>
        </is>
      </c>
      <c r="E673" s="11" t="inlineStr">
        <is>
          <t>Mr. Bishwajit Kaviraj</t>
        </is>
      </c>
      <c r="F673" s="10" t="n">
        <v>14550</v>
      </c>
      <c r="G673" s="11" t="inlineStr">
        <is>
          <t>Madhaiya</t>
        </is>
      </c>
      <c r="H673" s="10" t="n">
        <v>7631</v>
      </c>
      <c r="I673" s="11" t="inlineStr">
        <is>
          <t>Mr. Sabuj Kumar</t>
        </is>
      </c>
      <c r="J673" s="10">
        <f>IF(K673&gt;0, "Completed", "Pending")</f>
        <v/>
      </c>
      <c r="K673" s="10">
        <f>COUNTIF('Survey Responses'!F:F, F673)</f>
        <v/>
      </c>
    </row>
    <row r="674">
      <c r="A674" s="10" t="n">
        <v>673</v>
      </c>
      <c r="B674" s="11" t="inlineStr">
        <is>
          <t>Cumilla-B (GEN-A)</t>
        </is>
      </c>
      <c r="C674" s="11" t="inlineStr">
        <is>
          <t>Mr. Md. Abdur Rashid</t>
        </is>
      </c>
      <c r="D674" s="11" t="inlineStr">
        <is>
          <t>Chandina GEN-A-1</t>
        </is>
      </c>
      <c r="E674" s="11" t="inlineStr">
        <is>
          <t>Mr. Bishwajit Kaviraj</t>
        </is>
      </c>
      <c r="F674" s="10" t="n">
        <v>13311</v>
      </c>
      <c r="G674" s="11" t="inlineStr">
        <is>
          <t>Maligaon-1</t>
        </is>
      </c>
      <c r="H674" s="10" t="n">
        <v>3287</v>
      </c>
      <c r="I674" s="11" t="inlineStr">
        <is>
          <t>Md. Mufassel Hoque</t>
        </is>
      </c>
      <c r="J674" s="10">
        <f>IF(K674&gt;0, "Completed", "Pending")</f>
        <v/>
      </c>
      <c r="K674" s="10">
        <f>COUNTIF('Survey Responses'!F:F, F674)</f>
        <v/>
      </c>
    </row>
    <row r="675">
      <c r="A675" s="10" t="n">
        <v>674</v>
      </c>
      <c r="B675" s="11" t="inlineStr">
        <is>
          <t>Cumilla-B (GEN-A)</t>
        </is>
      </c>
      <c r="C675" s="11" t="inlineStr">
        <is>
          <t>Mr. Md. Abdur Rashid</t>
        </is>
      </c>
      <c r="D675" s="11" t="inlineStr">
        <is>
          <t>Chandina GEN-A-2</t>
        </is>
      </c>
      <c r="E675" s="11" t="inlineStr">
        <is>
          <t>Mr. Sk. Shafiqur Rahman</t>
        </is>
      </c>
      <c r="F675" s="10" t="n">
        <v>12941</v>
      </c>
      <c r="G675" s="11" t="inlineStr">
        <is>
          <t>Adda-Jhalam-1</t>
        </is>
      </c>
      <c r="H675" s="10" t="n">
        <v>6392</v>
      </c>
      <c r="I675" s="11" t="inlineStr">
        <is>
          <t>Mr. Md. Sohel Rana</t>
        </is>
      </c>
      <c r="J675" s="10">
        <f>IF(K675&gt;0, "Completed", "Pending")</f>
        <v/>
      </c>
      <c r="K675" s="10">
        <f>COUNTIF('Survey Responses'!F:F, F675)</f>
        <v/>
      </c>
    </row>
    <row r="676">
      <c r="A676" s="10" t="n">
        <v>675</v>
      </c>
      <c r="B676" s="11" t="inlineStr">
        <is>
          <t>Cumilla-B (GEN-A)</t>
        </is>
      </c>
      <c r="C676" s="11" t="inlineStr">
        <is>
          <t>Mr. Md. Abdur Rashid</t>
        </is>
      </c>
      <c r="D676" s="11" t="inlineStr">
        <is>
          <t>Chandina GEN-A-2</t>
        </is>
      </c>
      <c r="E676" s="11" t="inlineStr">
        <is>
          <t>Mr. Sk. Shafiqur Rahman</t>
        </is>
      </c>
      <c r="F676" s="10" t="n">
        <v>10947</v>
      </c>
      <c r="G676" s="11" t="inlineStr">
        <is>
          <t>Chandina-2</t>
        </is>
      </c>
      <c r="H676" s="10" t="n">
        <v>6005</v>
      </c>
      <c r="I676" s="11" t="inlineStr">
        <is>
          <t>Mr. Md. Shamsul Hoque</t>
        </is>
      </c>
      <c r="J676" s="10">
        <f>IF(K676&gt;0, "Completed", "Pending")</f>
        <v/>
      </c>
      <c r="K676" s="10">
        <f>COUNTIF('Survey Responses'!F:F, F676)</f>
        <v/>
      </c>
    </row>
    <row r="677">
      <c r="A677" s="10" t="n">
        <v>676</v>
      </c>
      <c r="B677" s="11" t="inlineStr">
        <is>
          <t>Cumilla-B (GEN-A)</t>
        </is>
      </c>
      <c r="C677" s="11" t="inlineStr">
        <is>
          <t>Mr. Md. Abdur Rashid</t>
        </is>
      </c>
      <c r="D677" s="11" t="inlineStr">
        <is>
          <t>Chandina GEN-A-2</t>
        </is>
      </c>
      <c r="E677" s="11" t="inlineStr">
        <is>
          <t>Mr. Sk. Shafiqur Rahman</t>
        </is>
      </c>
      <c r="F677" s="10" t="n">
        <v>10949</v>
      </c>
      <c r="G677" s="11" t="inlineStr">
        <is>
          <t>Chandina-3</t>
        </is>
      </c>
      <c r="H677" s="10" t="n">
        <v>5033</v>
      </c>
      <c r="I677" s="11" t="inlineStr">
        <is>
          <t>Mr. Md. Mehenur Rahman</t>
        </is>
      </c>
      <c r="J677" s="10">
        <f>IF(K677&gt;0, "Completed", "Pending")</f>
        <v/>
      </c>
      <c r="K677" s="10">
        <f>COUNTIF('Survey Responses'!F:F, F677)</f>
        <v/>
      </c>
    </row>
    <row r="678">
      <c r="A678" s="10" t="n">
        <v>677</v>
      </c>
      <c r="B678" s="11" t="inlineStr">
        <is>
          <t>Cumilla-B (GEN-A)</t>
        </is>
      </c>
      <c r="C678" s="11" t="inlineStr">
        <is>
          <t>Mr. Md. Abdur Rashid</t>
        </is>
      </c>
      <c r="D678" s="11" t="inlineStr">
        <is>
          <t>Chandina GEN-A-2</t>
        </is>
      </c>
      <c r="E678" s="11" t="inlineStr">
        <is>
          <t>Mr. Sk. Shafiqur Rahman</t>
        </is>
      </c>
      <c r="F678" s="10" t="n">
        <v>12677</v>
      </c>
      <c r="G678" s="11" t="inlineStr">
        <is>
          <t>Chandina-4</t>
        </is>
      </c>
      <c r="H678" s="10" t="n">
        <v>4172</v>
      </c>
      <c r="I678" s="11" t="inlineStr">
        <is>
          <t>Mr. Md. Shahanuzzaman</t>
        </is>
      </c>
      <c r="J678" s="10">
        <f>IF(K678&gt;0, "Completed", "Pending")</f>
        <v/>
      </c>
      <c r="K678" s="10">
        <f>COUNTIF('Survey Responses'!F:F, F678)</f>
        <v/>
      </c>
    </row>
    <row r="679">
      <c r="A679" s="10" t="n">
        <v>678</v>
      </c>
      <c r="B679" s="11" t="inlineStr">
        <is>
          <t>Cumilla-B (GEN-A)</t>
        </is>
      </c>
      <c r="C679" s="11" t="inlineStr">
        <is>
          <t>Mr. Md. Abdur Rashid</t>
        </is>
      </c>
      <c r="D679" s="11" t="inlineStr">
        <is>
          <t>Chandina GEN-A-2</t>
        </is>
      </c>
      <c r="E679" s="11" t="inlineStr">
        <is>
          <t>Mr. Sk. Shafiqur Rahman</t>
        </is>
      </c>
      <c r="F679" s="10" t="n">
        <v>10946</v>
      </c>
      <c r="G679" s="11" t="inlineStr">
        <is>
          <t>Nawabpur-1</t>
        </is>
      </c>
      <c r="H679" s="10" t="n">
        <v>1641</v>
      </c>
      <c r="I679" s="11" t="inlineStr">
        <is>
          <t>Md. Abdul Waras</t>
        </is>
      </c>
      <c r="J679" s="10">
        <f>IF(K679&gt;0, "Completed", "Pending")</f>
        <v/>
      </c>
      <c r="K679" s="10">
        <f>COUNTIF('Survey Responses'!F:F, F679)</f>
        <v/>
      </c>
    </row>
    <row r="680">
      <c r="A680" s="10" t="n">
        <v>679</v>
      </c>
      <c r="B680" s="11" t="inlineStr">
        <is>
          <t>Cumilla-B (GEN-A)</t>
        </is>
      </c>
      <c r="C680" s="11" t="inlineStr">
        <is>
          <t>Mr. Md. Abdur Rashid</t>
        </is>
      </c>
      <c r="D680" s="11" t="inlineStr">
        <is>
          <t>Chandina GEN-A-2</t>
        </is>
      </c>
      <c r="E680" s="11" t="inlineStr">
        <is>
          <t>Mr. Sk. Shafiqur Rahman</t>
        </is>
      </c>
      <c r="F680" s="10" t="n">
        <v>13173</v>
      </c>
      <c r="G680" s="11" t="inlineStr">
        <is>
          <t>Nawabpur-2</t>
        </is>
      </c>
      <c r="H680" s="10" t="n">
        <v>5797</v>
      </c>
      <c r="I680" s="11" t="inlineStr">
        <is>
          <t>Mr. Md. Shamim Hossain</t>
        </is>
      </c>
      <c r="J680" s="10">
        <f>IF(K680&gt;0, "Completed", "Pending")</f>
        <v/>
      </c>
      <c r="K680" s="10">
        <f>COUNTIF('Survey Responses'!F:F, F680)</f>
        <v/>
      </c>
    </row>
    <row r="681">
      <c r="A681" s="10" t="n">
        <v>680</v>
      </c>
      <c r="B681" s="11" t="inlineStr">
        <is>
          <t>Cumilla-B (GEN-A)</t>
        </is>
      </c>
      <c r="C681" s="11" t="inlineStr">
        <is>
          <t>Mr. Md. Abdur Rashid</t>
        </is>
      </c>
      <c r="D681" s="11" t="inlineStr">
        <is>
          <t>Chandina GEN-A-2</t>
        </is>
      </c>
      <c r="E681" s="11" t="inlineStr">
        <is>
          <t>Mr. Sk. Shafiqur Rahman</t>
        </is>
      </c>
      <c r="F681" s="10" t="n">
        <v>14824</v>
      </c>
      <c r="G681" s="11" t="inlineStr">
        <is>
          <t>Rammohan-1</t>
        </is>
      </c>
      <c r="H681" s="10" t="n">
        <v>8839</v>
      </c>
      <c r="I681" s="11" t="inlineStr">
        <is>
          <t>Mr. Md. Rabiul Islam</t>
        </is>
      </c>
      <c r="J681" s="10">
        <f>IF(K681&gt;0, "Completed", "Pending")</f>
        <v/>
      </c>
      <c r="K681" s="10">
        <f>COUNTIF('Survey Responses'!F:F, F681)</f>
        <v/>
      </c>
    </row>
    <row r="682">
      <c r="A682" s="10" t="n">
        <v>681</v>
      </c>
      <c r="B682" s="11" t="inlineStr">
        <is>
          <t>Cumilla-B (GEN-A)</t>
        </is>
      </c>
      <c r="C682" s="11" t="inlineStr">
        <is>
          <t>Mr. Md. Abdur Rashid</t>
        </is>
      </c>
      <c r="D682" s="11" t="inlineStr">
        <is>
          <t>Cumilla GEN-A-2</t>
        </is>
      </c>
      <c r="E682" s="11" t="inlineStr">
        <is>
          <t>Md. Monaem Hossain</t>
        </is>
      </c>
      <c r="F682" s="10" t="n">
        <v>10940</v>
      </c>
      <c r="G682" s="11" t="inlineStr">
        <is>
          <t>Chawakbazar-2</t>
        </is>
      </c>
      <c r="H682" s="10" t="n">
        <v>1281</v>
      </c>
      <c r="I682" s="11" t="inlineStr">
        <is>
          <t>Md. Rabiul Alam</t>
        </is>
      </c>
      <c r="J682" s="10">
        <f>IF(K682&gt;0, "Completed", "Pending")</f>
        <v/>
      </c>
      <c r="K682" s="10">
        <f>COUNTIF('Survey Responses'!F:F, F682)</f>
        <v/>
      </c>
    </row>
    <row r="683">
      <c r="A683" s="10" t="n">
        <v>682</v>
      </c>
      <c r="B683" s="11" t="inlineStr">
        <is>
          <t>Cumilla-B (GEN-A)</t>
        </is>
      </c>
      <c r="C683" s="11" t="inlineStr">
        <is>
          <t>Mr. Md. Abdur Rashid</t>
        </is>
      </c>
      <c r="D683" s="11" t="inlineStr">
        <is>
          <t>Cumilla GEN-A-2</t>
        </is>
      </c>
      <c r="E683" s="11" t="inlineStr">
        <is>
          <t>Md. Monaem Hossain</t>
        </is>
      </c>
      <c r="F683" s="10" t="n">
        <v>10924</v>
      </c>
      <c r="G683" s="11" t="inlineStr">
        <is>
          <t>Cumilla (Jhautola)</t>
        </is>
      </c>
      <c r="H683" s="10" t="n">
        <v>1832</v>
      </c>
      <c r="I683" s="11" t="inlineStr">
        <is>
          <t>Md. Melon Hossain</t>
        </is>
      </c>
      <c r="J683" s="10">
        <f>IF(K683&gt;0, "Completed", "Pending")</f>
        <v/>
      </c>
      <c r="K683" s="10">
        <f>COUNTIF('Survey Responses'!F:F, F683)</f>
        <v/>
      </c>
    </row>
    <row r="684">
      <c r="A684" s="10" t="n">
        <v>683</v>
      </c>
      <c r="B684" s="11" t="inlineStr">
        <is>
          <t>Cumilla-B (GEN-A)</t>
        </is>
      </c>
      <c r="C684" s="11" t="inlineStr">
        <is>
          <t>Mr. Md. Abdur Rashid</t>
        </is>
      </c>
      <c r="D684" s="11" t="inlineStr">
        <is>
          <t>Cumilla GEN-A-2</t>
        </is>
      </c>
      <c r="E684" s="11" t="inlineStr">
        <is>
          <t>Md. Monaem Hossain</t>
        </is>
      </c>
      <c r="F684" s="10" t="n">
        <v>10927</v>
      </c>
      <c r="G684" s="11" t="inlineStr">
        <is>
          <t>Cumilla Gomoti Hosp.</t>
        </is>
      </c>
      <c r="H684" s="10" t="n">
        <v>1320</v>
      </c>
      <c r="I684" s="11" t="inlineStr">
        <is>
          <t>Md. Atiqur Rahman</t>
        </is>
      </c>
      <c r="J684" s="10">
        <f>IF(K684&gt;0, "Completed", "Pending")</f>
        <v/>
      </c>
      <c r="K684" s="10">
        <f>COUNTIF('Survey Responses'!F:F, F684)</f>
        <v/>
      </c>
    </row>
    <row r="685">
      <c r="A685" s="10" t="n">
        <v>684</v>
      </c>
      <c r="B685" s="11" t="inlineStr">
        <is>
          <t>Cumilla-B (GEN-A)</t>
        </is>
      </c>
      <c r="C685" s="11" t="inlineStr">
        <is>
          <t>Mr. Md. Abdur Rashid</t>
        </is>
      </c>
      <c r="D685" s="11" t="inlineStr">
        <is>
          <t>Cumilla GEN-A-2</t>
        </is>
      </c>
      <c r="E685" s="11" t="inlineStr">
        <is>
          <t>Md. Monaem Hossain</t>
        </is>
      </c>
      <c r="F685" s="10" t="n">
        <v>10932</v>
      </c>
      <c r="G685" s="11" t="inlineStr">
        <is>
          <t>Cumilla Medical Centre</t>
        </is>
      </c>
      <c r="H685" s="10" t="n">
        <v>7309</v>
      </c>
      <c r="I685" s="11" t="inlineStr">
        <is>
          <t>Mr. Gowtam Kumar</t>
        </is>
      </c>
      <c r="J685" s="10">
        <f>IF(K685&gt;0, "Completed", "Pending")</f>
        <v/>
      </c>
      <c r="K685" s="10">
        <f>COUNTIF('Survey Responses'!F:F, F685)</f>
        <v/>
      </c>
    </row>
    <row r="686">
      <c r="A686" s="10" t="n">
        <v>685</v>
      </c>
      <c r="B686" s="11" t="inlineStr">
        <is>
          <t>Cumilla-B (GEN-A)</t>
        </is>
      </c>
      <c r="C686" s="11" t="inlineStr">
        <is>
          <t>Mr. Md. Abdur Rashid</t>
        </is>
      </c>
      <c r="D686" s="11" t="inlineStr">
        <is>
          <t>Cumilla GEN-A-2</t>
        </is>
      </c>
      <c r="E686" s="11" t="inlineStr">
        <is>
          <t>Md. Monaem Hossain</t>
        </is>
      </c>
      <c r="F686" s="10" t="n">
        <v>10923</v>
      </c>
      <c r="G686" s="11" t="inlineStr">
        <is>
          <t>Cumilla Moon Hospital</t>
        </is>
      </c>
      <c r="H686" s="10" t="n">
        <v>2821</v>
      </c>
      <c r="I686" s="11" t="inlineStr">
        <is>
          <t>Md. Rezvi Rayhan</t>
        </is>
      </c>
      <c r="J686" s="10">
        <f>IF(K686&gt;0, "Completed", "Pending")</f>
        <v/>
      </c>
      <c r="K686" s="10">
        <f>COUNTIF('Survey Responses'!F:F, F686)</f>
        <v/>
      </c>
    </row>
    <row r="687">
      <c r="A687" s="10" t="n">
        <v>686</v>
      </c>
      <c r="B687" s="11" t="inlineStr">
        <is>
          <t>Cumilla-B (GEN-A)</t>
        </is>
      </c>
      <c r="C687" s="11" t="inlineStr">
        <is>
          <t>Mr. Md. Abdur Rashid</t>
        </is>
      </c>
      <c r="D687" s="11" t="inlineStr">
        <is>
          <t>Cumilla GEN-A-2</t>
        </is>
      </c>
      <c r="E687" s="11" t="inlineStr">
        <is>
          <t>Md. Monaem Hossain</t>
        </is>
      </c>
      <c r="F687" s="10" t="n">
        <v>10928</v>
      </c>
      <c r="G687" s="11" t="inlineStr">
        <is>
          <t>Cumilla Truma Center</t>
        </is>
      </c>
      <c r="H687" s="10" t="n">
        <v>2124</v>
      </c>
      <c r="I687" s="11" t="inlineStr">
        <is>
          <t>Mehedi Hasan</t>
        </is>
      </c>
      <c r="J687" s="10">
        <f>IF(K687&gt;0, "Completed", "Pending")</f>
        <v/>
      </c>
      <c r="K687" s="10">
        <f>COUNTIF('Survey Responses'!F:F, F687)</f>
        <v/>
      </c>
    </row>
    <row r="688">
      <c r="A688" s="10" t="n">
        <v>687</v>
      </c>
      <c r="B688" s="11" t="inlineStr">
        <is>
          <t>Cumilla-B (GEN-A)</t>
        </is>
      </c>
      <c r="C688" s="11" t="inlineStr">
        <is>
          <t>Mr. Md. Abdur Rashid</t>
        </is>
      </c>
      <c r="D688" s="11" t="inlineStr">
        <is>
          <t>Cumilla GEN-A-2</t>
        </is>
      </c>
      <c r="E688" s="11" t="inlineStr">
        <is>
          <t>Md. Monaem Hossain</t>
        </is>
      </c>
      <c r="F688" s="10" t="n">
        <v>14123</v>
      </c>
      <c r="G688" s="11" t="inlineStr">
        <is>
          <t>Cumilla Truma Center-2</t>
        </is>
      </c>
      <c r="H688" s="10" t="n">
        <v>7411</v>
      </c>
      <c r="I688" s="11" t="inlineStr">
        <is>
          <t>Mr. Pitor Biswas</t>
        </is>
      </c>
      <c r="J688" s="10">
        <f>IF(K688&gt;0, "Completed", "Pending")</f>
        <v/>
      </c>
      <c r="K688" s="10">
        <f>COUNTIF('Survey Responses'!F:F, F688)</f>
        <v/>
      </c>
    </row>
    <row r="689">
      <c r="A689" s="10" t="n">
        <v>688</v>
      </c>
      <c r="B689" s="11" t="inlineStr">
        <is>
          <t>Cumilla-B (GEN-A)</t>
        </is>
      </c>
      <c r="C689" s="11" t="inlineStr">
        <is>
          <t>Mr. Md. Abdur Rashid</t>
        </is>
      </c>
      <c r="D689" s="11" t="inlineStr">
        <is>
          <t>Cumilla GEN-A-4</t>
        </is>
      </c>
      <c r="E689" s="11" t="inlineStr">
        <is>
          <t>Md. Belal Hossen</t>
        </is>
      </c>
      <c r="F689" s="10" t="n">
        <v>10937</v>
      </c>
      <c r="G689" s="11" t="inlineStr">
        <is>
          <t>Chawakbazar-1</t>
        </is>
      </c>
      <c r="H689" s="10" t="n">
        <v>6932</v>
      </c>
      <c r="I689" s="11" t="inlineStr">
        <is>
          <t>Mr. Md. Saiyaqul Islam</t>
        </is>
      </c>
      <c r="J689" s="10">
        <f>IF(K689&gt;0, "Completed", "Pending")</f>
        <v/>
      </c>
      <c r="K689" s="10">
        <f>COUNTIF('Survey Responses'!F:F, F689)</f>
        <v/>
      </c>
    </row>
    <row r="690">
      <c r="A690" s="10" t="n">
        <v>689</v>
      </c>
      <c r="B690" s="11" t="inlineStr">
        <is>
          <t>Cumilla-B (GEN-A)</t>
        </is>
      </c>
      <c r="C690" s="11" t="inlineStr">
        <is>
          <t>Mr. Md. Abdur Rashid</t>
        </is>
      </c>
      <c r="D690" s="11" t="inlineStr">
        <is>
          <t>Cumilla GEN-A-4</t>
        </is>
      </c>
      <c r="E690" s="11" t="inlineStr">
        <is>
          <t>Md. Belal Hossen</t>
        </is>
      </c>
      <c r="F690" s="10" t="n">
        <v>10938</v>
      </c>
      <c r="G690" s="11" t="inlineStr">
        <is>
          <t>COMCH-1</t>
        </is>
      </c>
      <c r="H690" s="10" t="n">
        <v>4169</v>
      </c>
      <c r="I690" s="11" t="inlineStr">
        <is>
          <t>Mr. Md. Alamgir Hossain</t>
        </is>
      </c>
      <c r="J690" s="10">
        <f>IF(K690&gt;0, "Completed", "Pending")</f>
        <v/>
      </c>
      <c r="K690" s="10">
        <f>COUNTIF('Survey Responses'!F:F, F690)</f>
        <v/>
      </c>
    </row>
    <row r="691">
      <c r="A691" s="10" t="n">
        <v>690</v>
      </c>
      <c r="B691" s="11" t="inlineStr">
        <is>
          <t>Cumilla-B (GEN-A)</t>
        </is>
      </c>
      <c r="C691" s="11" t="inlineStr">
        <is>
          <t>Mr. Md. Abdur Rashid</t>
        </is>
      </c>
      <c r="D691" s="11" t="inlineStr">
        <is>
          <t>Cumilla GEN-A-4</t>
        </is>
      </c>
      <c r="E691" s="11" t="inlineStr">
        <is>
          <t>Md. Belal Hossen</t>
        </is>
      </c>
      <c r="F691" s="10" t="n">
        <v>10939</v>
      </c>
      <c r="G691" s="11" t="inlineStr">
        <is>
          <t>COMCH-2</t>
        </is>
      </c>
      <c r="H691" s="10" t="n">
        <v>8729</v>
      </c>
      <c r="I691" s="11" t="inlineStr">
        <is>
          <t>Mr. Md. Alomgir Kabir</t>
        </is>
      </c>
      <c r="J691" s="10">
        <f>IF(K691&gt;0, "Completed", "Pending")</f>
        <v/>
      </c>
      <c r="K691" s="10">
        <f>COUNTIF('Survey Responses'!F:F, F691)</f>
        <v/>
      </c>
    </row>
    <row r="692">
      <c r="A692" s="10" t="n">
        <v>691</v>
      </c>
      <c r="B692" s="11" t="inlineStr">
        <is>
          <t>Cumilla-B (GEN-A)</t>
        </is>
      </c>
      <c r="C692" s="11" t="inlineStr">
        <is>
          <t>Mr. Md. Abdur Rashid</t>
        </is>
      </c>
      <c r="D692" s="11" t="inlineStr">
        <is>
          <t>Cumilla GEN-A-4</t>
        </is>
      </c>
      <c r="E692" s="11" t="inlineStr">
        <is>
          <t>Md. Belal Hossen</t>
        </is>
      </c>
      <c r="F692" s="10" t="n">
        <v>14135</v>
      </c>
      <c r="G692" s="11" t="inlineStr">
        <is>
          <t>COMCH-3</t>
        </is>
      </c>
      <c r="H692" s="10" t="n">
        <v>7458</v>
      </c>
      <c r="I692" s="11" t="inlineStr">
        <is>
          <t>Mr. Md. Shadat Fakir</t>
        </is>
      </c>
      <c r="J692" s="10">
        <f>IF(K692&gt;0, "Completed", "Pending")</f>
        <v/>
      </c>
      <c r="K692" s="10">
        <f>COUNTIF('Survey Responses'!F:F, F692)</f>
        <v/>
      </c>
    </row>
    <row r="693">
      <c r="A693" s="10" t="n">
        <v>692</v>
      </c>
      <c r="B693" s="11" t="inlineStr">
        <is>
          <t>Cumilla-B (GEN-A)</t>
        </is>
      </c>
      <c r="C693" s="11" t="inlineStr">
        <is>
          <t>Mr. Md. Abdur Rashid</t>
        </is>
      </c>
      <c r="D693" s="11" t="inlineStr">
        <is>
          <t>Cumilla GEN-A-4</t>
        </is>
      </c>
      <c r="E693" s="11" t="inlineStr">
        <is>
          <t>Md. Belal Hossen</t>
        </is>
      </c>
      <c r="F693" s="10" t="n">
        <v>14632</v>
      </c>
      <c r="G693" s="11" t="inlineStr">
        <is>
          <t>COMCH-4</t>
        </is>
      </c>
      <c r="H693" s="10" t="n">
        <v>7735</v>
      </c>
      <c r="I693" s="11" t="inlineStr">
        <is>
          <t>Mr. Md. Mohimanul Haque</t>
        </is>
      </c>
      <c r="J693" s="10">
        <f>IF(K693&gt;0, "Completed", "Pending")</f>
        <v/>
      </c>
      <c r="K693" s="10">
        <f>COUNTIF('Survey Responses'!F:F, F693)</f>
        <v/>
      </c>
    </row>
    <row r="694">
      <c r="A694" s="10" t="n">
        <v>693</v>
      </c>
      <c r="B694" s="11" t="inlineStr">
        <is>
          <t>Cumilla-B (GEN-A)</t>
        </is>
      </c>
      <c r="C694" s="11" t="inlineStr">
        <is>
          <t>Mr. Md. Abdur Rashid</t>
        </is>
      </c>
      <c r="D694" s="11" t="inlineStr">
        <is>
          <t>Cumilla GEN-A-4</t>
        </is>
      </c>
      <c r="E694" s="11" t="inlineStr">
        <is>
          <t>Md. Belal Hossen</t>
        </is>
      </c>
      <c r="F694" s="10" t="n">
        <v>10989</v>
      </c>
      <c r="G694" s="11" t="inlineStr">
        <is>
          <t>Mianbazar-1</t>
        </is>
      </c>
      <c r="H694" s="10" t="n">
        <v>1560</v>
      </c>
      <c r="I694" s="11" t="inlineStr">
        <is>
          <t>Md. Ohiduzzaman</t>
        </is>
      </c>
      <c r="J694" s="10">
        <f>IF(K694&gt;0, "Completed", "Pending")</f>
        <v/>
      </c>
      <c r="K694" s="10">
        <f>COUNTIF('Survey Responses'!F:F, F694)</f>
        <v/>
      </c>
    </row>
    <row r="695">
      <c r="A695" s="10" t="n">
        <v>694</v>
      </c>
      <c r="B695" s="11" t="inlineStr">
        <is>
          <t>Cumilla-B (GEN-A)</t>
        </is>
      </c>
      <c r="C695" s="11" t="inlineStr">
        <is>
          <t>Mr. Md. Abdur Rashid</t>
        </is>
      </c>
      <c r="D695" s="11" t="inlineStr">
        <is>
          <t>Cumilla GEN-A-4</t>
        </is>
      </c>
      <c r="E695" s="11" t="inlineStr">
        <is>
          <t>Md. Belal Hossen</t>
        </is>
      </c>
      <c r="F695" s="10" t="n">
        <v>13233</v>
      </c>
      <c r="G695" s="11" t="inlineStr">
        <is>
          <t>Mianbazar-2</t>
        </is>
      </c>
      <c r="H695" s="10" t="n">
        <v>6246</v>
      </c>
      <c r="I695" s="11" t="inlineStr">
        <is>
          <t>Mr. Shamsul Alam</t>
        </is>
      </c>
      <c r="J695" s="10">
        <f>IF(K695&gt;0, "Completed", "Pending")</f>
        <v/>
      </c>
      <c r="K695" s="10">
        <f>COUNTIF('Survey Responses'!F:F, F695)</f>
        <v/>
      </c>
    </row>
    <row r="696">
      <c r="A696" s="10" t="n">
        <v>695</v>
      </c>
      <c r="B696" s="11" t="inlineStr">
        <is>
          <t>Cumilla-B (GEN-A)</t>
        </is>
      </c>
      <c r="C696" s="11" t="inlineStr">
        <is>
          <t>Mr. Md. Abdur Rashid</t>
        </is>
      </c>
      <c r="D696" s="11" t="inlineStr">
        <is>
          <t>Gouripur GEN-A-1</t>
        </is>
      </c>
      <c r="E696" s="11" t="inlineStr">
        <is>
          <t>Md. Aminur Islam</t>
        </is>
      </c>
      <c r="F696" s="10" t="n">
        <v>10963</v>
      </c>
      <c r="G696" s="11" t="inlineStr">
        <is>
          <t>Gouripur-4</t>
        </is>
      </c>
      <c r="H696" s="10" t="n">
        <v>2159</v>
      </c>
      <c r="I696" s="11" t="inlineStr">
        <is>
          <t xml:space="preserve">Emran Hossain </t>
        </is>
      </c>
      <c r="J696" s="10">
        <f>IF(K696&gt;0, "Completed", "Pending")</f>
        <v/>
      </c>
      <c r="K696" s="10">
        <f>COUNTIF('Survey Responses'!F:F, F696)</f>
        <v/>
      </c>
    </row>
    <row r="697">
      <c r="A697" s="10" t="n">
        <v>696</v>
      </c>
      <c r="B697" s="11" t="inlineStr">
        <is>
          <t>Cumilla-B (GEN-A)</t>
        </is>
      </c>
      <c r="C697" s="11" t="inlineStr">
        <is>
          <t>Mr. Md. Abdur Rashid</t>
        </is>
      </c>
      <c r="D697" s="11" t="inlineStr">
        <is>
          <t>Gouripur GEN-A-1</t>
        </is>
      </c>
      <c r="E697" s="11" t="inlineStr">
        <is>
          <t>Md. Aminur Islam</t>
        </is>
      </c>
      <c r="F697" s="10" t="n">
        <v>11814</v>
      </c>
      <c r="G697" s="11" t="inlineStr">
        <is>
          <t>Gouripur-5</t>
        </is>
      </c>
      <c r="H697" s="10" t="n">
        <v>7043</v>
      </c>
      <c r="I697" s="11" t="inlineStr">
        <is>
          <t>Mr. Md. Abdullah</t>
        </is>
      </c>
      <c r="J697" s="10">
        <f>IF(K697&gt;0, "Completed", "Pending")</f>
        <v/>
      </c>
      <c r="K697" s="10">
        <f>COUNTIF('Survey Responses'!F:F, F697)</f>
        <v/>
      </c>
    </row>
    <row r="698">
      <c r="A698" s="10" t="n">
        <v>697</v>
      </c>
      <c r="B698" s="11" t="inlineStr">
        <is>
          <t>Cumilla-B (GEN-A)</t>
        </is>
      </c>
      <c r="C698" s="11" t="inlineStr">
        <is>
          <t>Mr. Md. Abdur Rashid</t>
        </is>
      </c>
      <c r="D698" s="11" t="inlineStr">
        <is>
          <t>Gouripur GEN-A-1</t>
        </is>
      </c>
      <c r="E698" s="11" t="inlineStr">
        <is>
          <t>Md. Aminur Islam</t>
        </is>
      </c>
      <c r="F698" s="10" t="n">
        <v>10704</v>
      </c>
      <c r="G698" s="11" t="inlineStr">
        <is>
          <t>Homna-1</t>
        </is>
      </c>
      <c r="H698" s="10" t="n">
        <v>1887</v>
      </c>
      <c r="I698" s="11" t="inlineStr">
        <is>
          <t>Md. Sohel Rana</t>
        </is>
      </c>
      <c r="J698" s="10">
        <f>IF(K698&gt;0, "Completed", "Pending")</f>
        <v/>
      </c>
      <c r="K698" s="10">
        <f>COUNTIF('Survey Responses'!F:F, F698)</f>
        <v/>
      </c>
    </row>
    <row r="699">
      <c r="A699" s="10" t="n">
        <v>698</v>
      </c>
      <c r="B699" s="11" t="inlineStr">
        <is>
          <t>Cumilla-B (GEN-A)</t>
        </is>
      </c>
      <c r="C699" s="11" t="inlineStr">
        <is>
          <t>Mr. Md. Abdur Rashid</t>
        </is>
      </c>
      <c r="D699" s="11" t="inlineStr">
        <is>
          <t>Gouripur GEN-A-1</t>
        </is>
      </c>
      <c r="E699" s="11" t="inlineStr">
        <is>
          <t>Md. Aminur Islam</t>
        </is>
      </c>
      <c r="F699" s="10" t="n">
        <v>12342</v>
      </c>
      <c r="G699" s="11" t="inlineStr">
        <is>
          <t>Homna-2</t>
        </is>
      </c>
      <c r="H699" s="10" t="n">
        <v>6669</v>
      </c>
      <c r="I699" s="11" t="inlineStr">
        <is>
          <t>Mr. Md. Majedur Rahman</t>
        </is>
      </c>
      <c r="J699" s="10">
        <f>IF(K699&gt;0, "Completed", "Pending")</f>
        <v/>
      </c>
      <c r="K699" s="10">
        <f>COUNTIF('Survey Responses'!F:F, F699)</f>
        <v/>
      </c>
    </row>
    <row r="700">
      <c r="A700" s="10" t="n">
        <v>699</v>
      </c>
      <c r="B700" s="11" t="inlineStr">
        <is>
          <t>Cumilla-B (GEN-A)</t>
        </is>
      </c>
      <c r="C700" s="11" t="inlineStr">
        <is>
          <t>Mr. Md. Abdur Rashid</t>
        </is>
      </c>
      <c r="D700" s="11" t="inlineStr">
        <is>
          <t>Gouripur GEN-A-1</t>
        </is>
      </c>
      <c r="E700" s="11" t="inlineStr">
        <is>
          <t>Md. Aminur Islam</t>
        </is>
      </c>
      <c r="F700" s="10" t="n">
        <v>14823</v>
      </c>
      <c r="G700" s="11" t="inlineStr">
        <is>
          <t>Homna-3</t>
        </is>
      </c>
      <c r="H700" s="10" t="n">
        <v>8933</v>
      </c>
      <c r="I700" s="11" t="inlineStr">
        <is>
          <t>Mr. Md. Minhaz Mullah</t>
        </is>
      </c>
      <c r="J700" s="10">
        <f>IF(K700&gt;0, "Completed", "Pending")</f>
        <v/>
      </c>
      <c r="K700" s="10">
        <f>COUNTIF('Survey Responses'!F:F, F700)</f>
        <v/>
      </c>
    </row>
    <row r="701">
      <c r="A701" s="10" t="n">
        <v>700</v>
      </c>
      <c r="B701" s="11" t="inlineStr">
        <is>
          <t>Cumilla-B (GEN-A)</t>
        </is>
      </c>
      <c r="C701" s="11" t="inlineStr">
        <is>
          <t>Mr. Md. Abdur Rashid</t>
        </is>
      </c>
      <c r="D701" s="11" t="inlineStr">
        <is>
          <t>Gouripur GEN-A-1</t>
        </is>
      </c>
      <c r="E701" s="11" t="inlineStr">
        <is>
          <t>Md. Aminur Islam</t>
        </is>
      </c>
      <c r="F701" s="10" t="n">
        <v>10965</v>
      </c>
      <c r="G701" s="11" t="inlineStr">
        <is>
          <t>Titas-1</t>
        </is>
      </c>
      <c r="H701" s="10" t="n">
        <v>1495</v>
      </c>
      <c r="I701" s="11" t="inlineStr">
        <is>
          <t>Md. Badrul Alom</t>
        </is>
      </c>
      <c r="J701" s="10">
        <f>IF(K701&gt;0, "Completed", "Pending")</f>
        <v/>
      </c>
      <c r="K701" s="10">
        <f>COUNTIF('Survey Responses'!F:F, F701)</f>
        <v/>
      </c>
    </row>
    <row r="702">
      <c r="A702" s="10" t="n">
        <v>701</v>
      </c>
      <c r="B702" s="11" t="inlineStr">
        <is>
          <t>Cumilla-B (GEN-A)</t>
        </is>
      </c>
      <c r="C702" s="11" t="inlineStr">
        <is>
          <t>Mr. Md. Abdur Rashid</t>
        </is>
      </c>
      <c r="D702" s="11" t="inlineStr">
        <is>
          <t>Gouripur GEN-A-1</t>
        </is>
      </c>
      <c r="E702" s="11" t="inlineStr">
        <is>
          <t>Md. Aminur Islam</t>
        </is>
      </c>
      <c r="F702" s="10" t="n">
        <v>13616</v>
      </c>
      <c r="G702" s="11" t="inlineStr">
        <is>
          <t>Titas-2</t>
        </is>
      </c>
      <c r="H702" s="10" t="n">
        <v>8837</v>
      </c>
      <c r="I702" s="11" t="inlineStr">
        <is>
          <t>Mr. Md. Nazmul Haque</t>
        </is>
      </c>
      <c r="J702" s="10">
        <f>IF(K702&gt;0, "Completed", "Pending")</f>
        <v/>
      </c>
      <c r="K702" s="10">
        <f>COUNTIF('Survey Responses'!F:F, F702)</f>
        <v/>
      </c>
    </row>
    <row r="703">
      <c r="A703" s="10" t="n">
        <v>702</v>
      </c>
      <c r="B703" s="11" t="inlineStr">
        <is>
          <t>Cumilla-B (GEN-A)</t>
        </is>
      </c>
      <c r="C703" s="11" t="inlineStr">
        <is>
          <t>Mr. Md. Abdur Rashid</t>
        </is>
      </c>
      <c r="D703" s="11" t="inlineStr">
        <is>
          <t>Gouripur GEN-A-2</t>
        </is>
      </c>
      <c r="E703" s="11" t="inlineStr">
        <is>
          <t>Md. Abdul Alim</t>
        </is>
      </c>
      <c r="F703" s="10" t="n">
        <v>10961</v>
      </c>
      <c r="G703" s="11" t="inlineStr">
        <is>
          <t>Daudkandi-1</t>
        </is>
      </c>
      <c r="H703" s="10" t="n">
        <v>3962</v>
      </c>
      <c r="I703" s="11" t="inlineStr">
        <is>
          <t>Mr. Shaminuzzaman</t>
        </is>
      </c>
      <c r="J703" s="10">
        <f>IF(K703&gt;0, "Completed", "Pending")</f>
        <v/>
      </c>
      <c r="K703" s="10">
        <f>COUNTIF('Survey Responses'!F:F, F703)</f>
        <v/>
      </c>
    </row>
    <row r="704">
      <c r="A704" s="10" t="n">
        <v>703</v>
      </c>
      <c r="B704" s="11" t="inlineStr">
        <is>
          <t>Cumilla-B (GEN-A)</t>
        </is>
      </c>
      <c r="C704" s="11" t="inlineStr">
        <is>
          <t>Mr. Md. Abdur Rashid</t>
        </is>
      </c>
      <c r="D704" s="11" t="inlineStr">
        <is>
          <t>Gouripur GEN-A-2</t>
        </is>
      </c>
      <c r="E704" s="11" t="inlineStr">
        <is>
          <t>Md. Abdul Alim</t>
        </is>
      </c>
      <c r="F704" s="10" t="n">
        <v>10964</v>
      </c>
      <c r="G704" s="11" t="inlineStr">
        <is>
          <t>Daudkandi-2</t>
        </is>
      </c>
      <c r="H704" s="10" t="n">
        <v>1850</v>
      </c>
      <c r="I704" s="11" t="inlineStr">
        <is>
          <t>Md. Baki Billah</t>
        </is>
      </c>
      <c r="J704" s="10">
        <f>IF(K704&gt;0, "Completed", "Pending")</f>
        <v/>
      </c>
      <c r="K704" s="10">
        <f>COUNTIF('Survey Responses'!F:F, F704)</f>
        <v/>
      </c>
    </row>
    <row r="705">
      <c r="A705" s="10" t="n">
        <v>704</v>
      </c>
      <c r="B705" s="11" t="inlineStr">
        <is>
          <t>Cumilla-B (GEN-A)</t>
        </is>
      </c>
      <c r="C705" s="11" t="inlineStr">
        <is>
          <t>Mr. Md. Abdur Rashid</t>
        </is>
      </c>
      <c r="D705" s="11" t="inlineStr">
        <is>
          <t>Gouripur GEN-A-2</t>
        </is>
      </c>
      <c r="E705" s="11" t="inlineStr">
        <is>
          <t>Md. Abdul Alim</t>
        </is>
      </c>
      <c r="F705" s="10" t="n">
        <v>14867</v>
      </c>
      <c r="G705" s="11" t="inlineStr">
        <is>
          <t>Daudkandi-3</t>
        </is>
      </c>
      <c r="H705" s="10" t="n">
        <v>8987</v>
      </c>
      <c r="I705" s="11" t="inlineStr">
        <is>
          <t>Mr. Md. Nazmul Hossen</t>
        </is>
      </c>
      <c r="J705" s="10">
        <f>IF(K705&gt;0, "Completed", "Pending")</f>
        <v/>
      </c>
      <c r="K705" s="10">
        <f>COUNTIF('Survey Responses'!F:F, F705)</f>
        <v/>
      </c>
    </row>
    <row r="706">
      <c r="A706" s="10" t="n">
        <v>705</v>
      </c>
      <c r="B706" s="11" t="inlineStr">
        <is>
          <t>Cumilla-B (GEN-A)</t>
        </is>
      </c>
      <c r="C706" s="11" t="inlineStr">
        <is>
          <t>Mr. Md. Abdur Rashid</t>
        </is>
      </c>
      <c r="D706" s="11" t="inlineStr">
        <is>
          <t>Gouripur GEN-A-2</t>
        </is>
      </c>
      <c r="E706" s="11" t="inlineStr">
        <is>
          <t>Md. Abdul Alim</t>
        </is>
      </c>
      <c r="F706" s="10" t="n">
        <v>10960</v>
      </c>
      <c r="G706" s="11" t="inlineStr">
        <is>
          <t>Gouripur-1</t>
        </is>
      </c>
      <c r="H706" s="10" t="n">
        <v>7418</v>
      </c>
      <c r="I706" s="11" t="inlineStr">
        <is>
          <t>Mr. Md. Tahirul Islam</t>
        </is>
      </c>
      <c r="J706" s="10">
        <f>IF(K706&gt;0, "Completed", "Pending")</f>
        <v/>
      </c>
      <c r="K706" s="10">
        <f>COUNTIF('Survey Responses'!F:F, F706)</f>
        <v/>
      </c>
    </row>
    <row r="707">
      <c r="A707" s="10" t="n">
        <v>706</v>
      </c>
      <c r="B707" s="11" t="inlineStr">
        <is>
          <t>Cumilla-B (GEN-A)</t>
        </is>
      </c>
      <c r="C707" s="11" t="inlineStr">
        <is>
          <t>Mr. Md. Abdur Rashid</t>
        </is>
      </c>
      <c r="D707" s="11" t="inlineStr">
        <is>
          <t>Gouripur GEN-A-2</t>
        </is>
      </c>
      <c r="E707" s="11" t="inlineStr">
        <is>
          <t>Md. Abdul Alim</t>
        </is>
      </c>
      <c r="F707" s="10" t="n">
        <v>10959</v>
      </c>
      <c r="G707" s="11" t="inlineStr">
        <is>
          <t>Gouripur-2</t>
        </is>
      </c>
      <c r="H707" s="10" t="n">
        <v>1407</v>
      </c>
      <c r="I707" s="11" t="inlineStr">
        <is>
          <t>Prodip Mohan Chaki</t>
        </is>
      </c>
      <c r="J707" s="10">
        <f>IF(K707&gt;0, "Completed", "Pending")</f>
        <v/>
      </c>
      <c r="K707" s="10">
        <f>COUNTIF('Survey Responses'!F:F, F707)</f>
        <v/>
      </c>
    </row>
    <row r="708">
      <c r="A708" s="10" t="n">
        <v>707</v>
      </c>
      <c r="B708" s="11" t="inlineStr">
        <is>
          <t>Cumilla-B (GEN-A)</t>
        </is>
      </c>
      <c r="C708" s="11" t="inlineStr">
        <is>
          <t>Mr. Md. Abdur Rashid</t>
        </is>
      </c>
      <c r="D708" s="11" t="inlineStr">
        <is>
          <t>Gouripur GEN-A-2</t>
        </is>
      </c>
      <c r="E708" s="11" t="inlineStr">
        <is>
          <t>Md. Abdul Alim</t>
        </is>
      </c>
      <c r="F708" s="10" t="n">
        <v>10962</v>
      </c>
      <c r="G708" s="11" t="inlineStr">
        <is>
          <t>Gouripur-3</t>
        </is>
      </c>
      <c r="H708" s="10" t="n">
        <v>869</v>
      </c>
      <c r="I708" s="11" t="inlineStr">
        <is>
          <t>Md. Monowar Hossain</t>
        </is>
      </c>
      <c r="J708" s="10">
        <f>IF(K708&gt;0, "Completed", "Pending")</f>
        <v/>
      </c>
      <c r="K708" s="10">
        <f>COUNTIF('Survey Responses'!F:F, F708)</f>
        <v/>
      </c>
    </row>
    <row r="709">
      <c r="A709" s="10" t="n">
        <v>708</v>
      </c>
      <c r="B709" s="11" t="inlineStr">
        <is>
          <t>Cumilla-B (GEN-A)</t>
        </is>
      </c>
      <c r="C709" s="11" t="inlineStr">
        <is>
          <t>Mr. Md. Abdur Rashid</t>
        </is>
      </c>
      <c r="D709" s="11" t="inlineStr">
        <is>
          <t>Gouripur GEN-A-2</t>
        </is>
      </c>
      <c r="E709" s="11" t="inlineStr">
        <is>
          <t>Md. Abdul Alim</t>
        </is>
      </c>
      <c r="F709" s="10" t="n">
        <v>12572</v>
      </c>
      <c r="G709" s="11" t="inlineStr">
        <is>
          <t>Meghna-1</t>
        </is>
      </c>
      <c r="H709" s="10" t="n">
        <v>1089</v>
      </c>
      <c r="I709" s="11" t="inlineStr">
        <is>
          <t>Md. Harun Ar Rashid</t>
        </is>
      </c>
      <c r="J709" s="10">
        <f>IF(K709&gt;0, "Completed", "Pending")</f>
        <v/>
      </c>
      <c r="K709" s="10">
        <f>COUNTIF('Survey Responses'!F:F, F709)</f>
        <v/>
      </c>
    </row>
    <row r="710">
      <c r="A710" s="10" t="n">
        <v>709</v>
      </c>
      <c r="B710" s="11" t="inlineStr">
        <is>
          <t>Feni (GEN-A)</t>
        </is>
      </c>
      <c r="C710" s="11" t="inlineStr">
        <is>
          <t>Mr. Md. Monir Hossain</t>
        </is>
      </c>
      <c r="D710" s="11" t="inlineStr">
        <is>
          <t>Chagolnaiya GEN-A-1</t>
        </is>
      </c>
      <c r="E710" s="11" t="inlineStr">
        <is>
          <t>Mr. Md. Manir Hosen</t>
        </is>
      </c>
      <c r="F710" s="10" t="n">
        <v>10981</v>
      </c>
      <c r="G710" s="11" t="inlineStr">
        <is>
          <t>Chagolnaiya-1</t>
        </is>
      </c>
      <c r="H710" s="10" t="n">
        <v>2208</v>
      </c>
      <c r="I710" s="11" t="inlineStr">
        <is>
          <t>Eyakub Ali</t>
        </is>
      </c>
      <c r="J710" s="10">
        <f>IF(K710&gt;0, "Completed", "Pending")</f>
        <v/>
      </c>
      <c r="K710" s="10">
        <f>COUNTIF('Survey Responses'!F:F, F710)</f>
        <v/>
      </c>
    </row>
    <row r="711">
      <c r="A711" s="10" t="n">
        <v>710</v>
      </c>
      <c r="B711" s="11" t="inlineStr">
        <is>
          <t>Feni (GEN-A)</t>
        </is>
      </c>
      <c r="C711" s="11" t="inlineStr">
        <is>
          <t>Mr. Md. Monir Hossain</t>
        </is>
      </c>
      <c r="D711" s="11" t="inlineStr">
        <is>
          <t>Chagolnaiya GEN-A-1</t>
        </is>
      </c>
      <c r="E711" s="11" t="inlineStr">
        <is>
          <t>Mr. Md. Manir Hosen</t>
        </is>
      </c>
      <c r="F711" s="10" t="n">
        <v>10982</v>
      </c>
      <c r="G711" s="11" t="inlineStr">
        <is>
          <t>Chagolniaya-2</t>
        </is>
      </c>
      <c r="H711" s="10" t="n">
        <v>6330</v>
      </c>
      <c r="I711" s="11" t="inlineStr">
        <is>
          <t>Mr. Abdullah Al Mamun</t>
        </is>
      </c>
      <c r="J711" s="10">
        <f>IF(K711&gt;0, "Completed", "Pending")</f>
        <v/>
      </c>
      <c r="K711" s="10">
        <f>COUNTIF('Survey Responses'!F:F, F711)</f>
        <v/>
      </c>
    </row>
    <row r="712">
      <c r="A712" s="10" t="n">
        <v>711</v>
      </c>
      <c r="B712" s="11" t="inlineStr">
        <is>
          <t>Feni (GEN-A)</t>
        </is>
      </c>
      <c r="C712" s="11" t="inlineStr">
        <is>
          <t>Mr. Md. Monir Hossain</t>
        </is>
      </c>
      <c r="D712" s="11" t="inlineStr">
        <is>
          <t>Chagolnaiya GEN-A-1</t>
        </is>
      </c>
      <c r="E712" s="11" t="inlineStr">
        <is>
          <t>Mr. Md. Manir Hosen</t>
        </is>
      </c>
      <c r="F712" s="10" t="n">
        <v>10983</v>
      </c>
      <c r="G712" s="11" t="inlineStr">
        <is>
          <t>Chagolniaya-3</t>
        </is>
      </c>
      <c r="H712" s="10" t="n">
        <v>980</v>
      </c>
      <c r="I712" s="11" t="inlineStr">
        <is>
          <t>Md. Shumon Reza</t>
        </is>
      </c>
      <c r="J712" s="10">
        <f>IF(K712&gt;0, "Completed", "Pending")</f>
        <v/>
      </c>
      <c r="K712" s="10">
        <f>COUNTIF('Survey Responses'!F:F, F712)</f>
        <v/>
      </c>
    </row>
    <row r="713">
      <c r="A713" s="10" t="n">
        <v>712</v>
      </c>
      <c r="B713" s="11" t="inlineStr">
        <is>
          <t>Feni (GEN-A)</t>
        </is>
      </c>
      <c r="C713" s="11" t="inlineStr">
        <is>
          <t>Mr. Md. Monir Hossain</t>
        </is>
      </c>
      <c r="D713" s="11" t="inlineStr">
        <is>
          <t>Chagolnaiya GEN-A-1</t>
        </is>
      </c>
      <c r="E713" s="11" t="inlineStr">
        <is>
          <t>Mr. Md. Manir Hosen</t>
        </is>
      </c>
      <c r="F713" s="10" t="n">
        <v>10977</v>
      </c>
      <c r="G713" s="11" t="inlineStr">
        <is>
          <t>Fulgazi-1</t>
        </is>
      </c>
      <c r="H713" s="10" t="n">
        <v>1936</v>
      </c>
      <c r="I713" s="11" t="inlineStr">
        <is>
          <t>Md. Rahamat Ullah</t>
        </is>
      </c>
      <c r="J713" s="10">
        <f>IF(K713&gt;0, "Completed", "Pending")</f>
        <v/>
      </c>
      <c r="K713" s="10">
        <f>COUNTIF('Survey Responses'!F:F, F713)</f>
        <v/>
      </c>
    </row>
    <row r="714">
      <c r="A714" s="10" t="n">
        <v>713</v>
      </c>
      <c r="B714" s="11" t="inlineStr">
        <is>
          <t>Feni (GEN-A)</t>
        </is>
      </c>
      <c r="C714" s="11" t="inlineStr">
        <is>
          <t>Mr. Md. Monir Hossain</t>
        </is>
      </c>
      <c r="D714" s="11" t="inlineStr">
        <is>
          <t>Chagolnaiya GEN-A-1</t>
        </is>
      </c>
      <c r="E714" s="11" t="inlineStr">
        <is>
          <t>Mr. Md. Manir Hosen</t>
        </is>
      </c>
      <c r="F714" s="10" t="n">
        <v>13312</v>
      </c>
      <c r="G714" s="11" t="inlineStr">
        <is>
          <t>Fulgazi-2</t>
        </is>
      </c>
      <c r="H714" s="10" t="n">
        <v>5923</v>
      </c>
      <c r="I714" s="11" t="inlineStr">
        <is>
          <t>Mr. Md. Mahtab Hossain</t>
        </is>
      </c>
      <c r="J714" s="10">
        <f>IF(K714&gt;0, "Completed", "Pending")</f>
        <v/>
      </c>
      <c r="K714" s="10">
        <f>COUNTIF('Survey Responses'!F:F, F714)</f>
        <v/>
      </c>
    </row>
    <row r="715">
      <c r="A715" s="10" t="n">
        <v>714</v>
      </c>
      <c r="B715" s="11" t="inlineStr">
        <is>
          <t>Feni (GEN-A)</t>
        </is>
      </c>
      <c r="C715" s="11" t="inlineStr">
        <is>
          <t>Mr. Md. Monir Hossain</t>
        </is>
      </c>
      <c r="D715" s="11" t="inlineStr">
        <is>
          <t>Chagolnaiya GEN-A-1</t>
        </is>
      </c>
      <c r="E715" s="11" t="inlineStr">
        <is>
          <t>Mr. Md. Manir Hosen</t>
        </is>
      </c>
      <c r="F715" s="10" t="n">
        <v>10974</v>
      </c>
      <c r="G715" s="11" t="inlineStr">
        <is>
          <t>Porsuram-1</t>
        </is>
      </c>
      <c r="H715" s="10" t="n">
        <v>1937</v>
      </c>
      <c r="I715" s="11" t="inlineStr">
        <is>
          <t>Md. Rakibul Hasan</t>
        </is>
      </c>
      <c r="J715" s="10">
        <f>IF(K715&gt;0, "Completed", "Pending")</f>
        <v/>
      </c>
      <c r="K715" s="10">
        <f>COUNTIF('Survey Responses'!F:F, F715)</f>
        <v/>
      </c>
    </row>
    <row r="716">
      <c r="A716" s="10" t="n">
        <v>715</v>
      </c>
      <c r="B716" s="11" t="inlineStr">
        <is>
          <t>Feni (GEN-A)</t>
        </is>
      </c>
      <c r="C716" s="11" t="inlineStr">
        <is>
          <t>Mr. Md. Monir Hossain</t>
        </is>
      </c>
      <c r="D716" s="11" t="inlineStr">
        <is>
          <t>Chagolnaiya GEN-A-1</t>
        </is>
      </c>
      <c r="E716" s="11" t="inlineStr">
        <is>
          <t>Mr. Md. Manir Hosen</t>
        </is>
      </c>
      <c r="F716" s="10" t="n">
        <v>13022</v>
      </c>
      <c r="G716" s="11" t="inlineStr">
        <is>
          <t>Porsuram-2</t>
        </is>
      </c>
      <c r="H716" s="10" t="n">
        <v>1196</v>
      </c>
      <c r="I716" s="11" t="inlineStr">
        <is>
          <t>Md. Monsur Rahman</t>
        </is>
      </c>
      <c r="J716" s="10">
        <f>IF(K716&gt;0, "Completed", "Pending")</f>
        <v/>
      </c>
      <c r="K716" s="10">
        <f>COUNTIF('Survey Responses'!F:F, F716)</f>
        <v/>
      </c>
    </row>
    <row r="717">
      <c r="A717" s="10" t="n">
        <v>716</v>
      </c>
      <c r="B717" s="11" t="inlineStr">
        <is>
          <t>Feni (GEN-A)</t>
        </is>
      </c>
      <c r="C717" s="11" t="inlineStr">
        <is>
          <t>Mr. Md. Monir Hossain</t>
        </is>
      </c>
      <c r="D717" s="11" t="inlineStr">
        <is>
          <t>Chowddagram GEN-A-1</t>
        </is>
      </c>
      <c r="E717" s="11" t="inlineStr">
        <is>
          <t>Mr. Md. Bulbul Ahammad</t>
        </is>
      </c>
      <c r="F717" s="10" t="n">
        <v>14077</v>
      </c>
      <c r="G717" s="11" t="inlineStr">
        <is>
          <t>Bangodda-1</t>
        </is>
      </c>
      <c r="H717" s="10" t="n">
        <v>1175</v>
      </c>
      <c r="I717" s="11" t="inlineStr">
        <is>
          <t>Dablu Chandra Roy</t>
        </is>
      </c>
      <c r="J717" s="10">
        <f>IF(K717&gt;0, "Completed", "Pending")</f>
        <v/>
      </c>
      <c r="K717" s="10">
        <f>COUNTIF('Survey Responses'!F:F, F717)</f>
        <v/>
      </c>
    </row>
    <row r="718">
      <c r="A718" s="10" t="n">
        <v>717</v>
      </c>
      <c r="B718" s="11" t="inlineStr">
        <is>
          <t>Feni (GEN-A)</t>
        </is>
      </c>
      <c r="C718" s="11" t="inlineStr">
        <is>
          <t>Mr. Md. Monir Hossain</t>
        </is>
      </c>
      <c r="D718" s="11" t="inlineStr">
        <is>
          <t>Chowddagram GEN-A-1</t>
        </is>
      </c>
      <c r="E718" s="11" t="inlineStr">
        <is>
          <t>Mr. Md. Bulbul Ahammad</t>
        </is>
      </c>
      <c r="F718" s="10" t="n">
        <v>10988</v>
      </c>
      <c r="G718" s="11" t="inlineStr">
        <is>
          <t>Chowddagram-1</t>
        </is>
      </c>
      <c r="H718" s="10" t="n">
        <v>5675</v>
      </c>
      <c r="I718" s="11" t="inlineStr">
        <is>
          <t>Mr. Ismail Shaikh Nayan</t>
        </is>
      </c>
      <c r="J718" s="10">
        <f>IF(K718&gt;0, "Completed", "Pending")</f>
        <v/>
      </c>
      <c r="K718" s="10">
        <f>COUNTIF('Survey Responses'!F:F, F718)</f>
        <v/>
      </c>
    </row>
    <row r="719">
      <c r="A719" s="10" t="n">
        <v>718</v>
      </c>
      <c r="B719" s="11" t="inlineStr">
        <is>
          <t>Feni (GEN-A)</t>
        </is>
      </c>
      <c r="C719" s="11" t="inlineStr">
        <is>
          <t>Mr. Md. Monir Hossain</t>
        </is>
      </c>
      <c r="D719" s="11" t="inlineStr">
        <is>
          <t>Chowddagram GEN-A-1</t>
        </is>
      </c>
      <c r="E719" s="11" t="inlineStr">
        <is>
          <t>Mr. Md. Bulbul Ahammad</t>
        </is>
      </c>
      <c r="F719" s="10" t="n">
        <v>10991</v>
      </c>
      <c r="G719" s="11" t="inlineStr">
        <is>
          <t>Chowddagram-2</t>
        </is>
      </c>
      <c r="H719" s="10" t="n">
        <v>6454</v>
      </c>
      <c r="I719" s="11" t="inlineStr">
        <is>
          <t>Mr. Ripon Samaddar</t>
        </is>
      </c>
      <c r="J719" s="10">
        <f>IF(K719&gt;0, "Completed", "Pending")</f>
        <v/>
      </c>
      <c r="K719" s="10">
        <f>COUNTIF('Survey Responses'!F:F, F719)</f>
        <v/>
      </c>
    </row>
    <row r="720">
      <c r="A720" s="10" t="n">
        <v>719</v>
      </c>
      <c r="B720" s="11" t="inlineStr">
        <is>
          <t>Feni (GEN-A)</t>
        </is>
      </c>
      <c r="C720" s="11" t="inlineStr">
        <is>
          <t>Mr. Md. Monir Hossain</t>
        </is>
      </c>
      <c r="D720" s="11" t="inlineStr">
        <is>
          <t>Chowddagram GEN-A-1</t>
        </is>
      </c>
      <c r="E720" s="11" t="inlineStr">
        <is>
          <t>Mr. Md. Bulbul Ahammad</t>
        </is>
      </c>
      <c r="F720" s="10" t="n">
        <v>10985</v>
      </c>
      <c r="G720" s="11" t="inlineStr">
        <is>
          <t>Chowddagram-3</t>
        </is>
      </c>
      <c r="H720" s="10" t="n">
        <v>7319</v>
      </c>
      <c r="I720" s="11" t="inlineStr">
        <is>
          <t>Mr. Raju Ahmed</t>
        </is>
      </c>
      <c r="J720" s="10">
        <f>IF(K720&gt;0, "Completed", "Pending")</f>
        <v/>
      </c>
      <c r="K720" s="10">
        <f>COUNTIF('Survey Responses'!F:F, F720)</f>
        <v/>
      </c>
    </row>
    <row r="721">
      <c r="A721" s="10" t="n">
        <v>720</v>
      </c>
      <c r="B721" s="11" t="inlineStr">
        <is>
          <t>Feni (GEN-A)</t>
        </is>
      </c>
      <c r="C721" s="11" t="inlineStr">
        <is>
          <t>Mr. Md. Monir Hossain</t>
        </is>
      </c>
      <c r="D721" s="11" t="inlineStr">
        <is>
          <t>Chowddagram GEN-A-1</t>
        </is>
      </c>
      <c r="E721" s="11" t="inlineStr">
        <is>
          <t>Mr. Md. Bulbul Ahammad</t>
        </is>
      </c>
      <c r="F721" s="10" t="n">
        <v>13265</v>
      </c>
      <c r="G721" s="11" t="inlineStr">
        <is>
          <t>Chowddagram-4</t>
        </is>
      </c>
      <c r="H721" s="10" t="n">
        <v>6715</v>
      </c>
      <c r="I721" s="11" t="inlineStr">
        <is>
          <t>Mr. Md. Mohaiminul Islam</t>
        </is>
      </c>
      <c r="J721" s="10">
        <f>IF(K721&gt;0, "Completed", "Pending")</f>
        <v/>
      </c>
      <c r="K721" s="10">
        <f>COUNTIF('Survey Responses'!F:F, F721)</f>
        <v/>
      </c>
    </row>
    <row r="722">
      <c r="A722" s="10" t="n">
        <v>721</v>
      </c>
      <c r="B722" s="11" t="inlineStr">
        <is>
          <t>Feni (GEN-A)</t>
        </is>
      </c>
      <c r="C722" s="11" t="inlineStr">
        <is>
          <t>Mr. Md. Monir Hossain</t>
        </is>
      </c>
      <c r="D722" s="11" t="inlineStr">
        <is>
          <t>Chowddagram GEN-A-1</t>
        </is>
      </c>
      <c r="E722" s="11" t="inlineStr">
        <is>
          <t>Mr. Md. Bulbul Ahammad</t>
        </is>
      </c>
      <c r="F722" s="10" t="n">
        <v>14652</v>
      </c>
      <c r="G722" s="11" t="inlineStr">
        <is>
          <t>Chowddagram-5</t>
        </is>
      </c>
      <c r="H722" s="10" t="n">
        <v>8319</v>
      </c>
      <c r="I722" s="11" t="inlineStr">
        <is>
          <t>Mr. Md. Afzal Hossain</t>
        </is>
      </c>
      <c r="J722" s="10">
        <f>IF(K722&gt;0, "Completed", "Pending")</f>
        <v/>
      </c>
      <c r="K722" s="10">
        <f>COUNTIF('Survey Responses'!F:F, F722)</f>
        <v/>
      </c>
    </row>
    <row r="723">
      <c r="A723" s="10" t="n">
        <v>722</v>
      </c>
      <c r="B723" s="11" t="inlineStr">
        <is>
          <t>Feni (GEN-A)</t>
        </is>
      </c>
      <c r="C723" s="11" t="inlineStr">
        <is>
          <t>Mr. Md. Monir Hossain</t>
        </is>
      </c>
      <c r="D723" s="11" t="inlineStr">
        <is>
          <t>Chowddagram GEN-A-1</t>
        </is>
      </c>
      <c r="E723" s="11" t="inlineStr">
        <is>
          <t>Mr. Md. Bulbul Ahammad</t>
        </is>
      </c>
      <c r="F723" s="10" t="n">
        <v>12946</v>
      </c>
      <c r="G723" s="11" t="inlineStr">
        <is>
          <t>Dhorkora Bazar-1</t>
        </is>
      </c>
      <c r="H723" s="10" t="n">
        <v>2990</v>
      </c>
      <c r="I723" s="11" t="inlineStr">
        <is>
          <t>Afshar Ali</t>
        </is>
      </c>
      <c r="J723" s="10">
        <f>IF(K723&gt;0, "Completed", "Pending")</f>
        <v/>
      </c>
      <c r="K723" s="10">
        <f>COUNTIF('Survey Responses'!F:F, F723)</f>
        <v/>
      </c>
    </row>
    <row r="724">
      <c r="A724" s="10" t="n">
        <v>723</v>
      </c>
      <c r="B724" s="11" t="inlineStr">
        <is>
          <t>Feni (GEN-A)</t>
        </is>
      </c>
      <c r="C724" s="11" t="inlineStr">
        <is>
          <t>Mr. Md. Monir Hossain</t>
        </is>
      </c>
      <c r="D724" s="11" t="inlineStr">
        <is>
          <t>Daganbhuiyan GEN-A-1</t>
        </is>
      </c>
      <c r="E724" s="11" t="inlineStr">
        <is>
          <t>Mahabul Hossain</t>
        </is>
      </c>
      <c r="F724" s="10" t="n">
        <v>11002</v>
      </c>
      <c r="G724" s="11" t="inlineStr">
        <is>
          <t>Basurhat-1</t>
        </is>
      </c>
      <c r="H724" s="10" t="n">
        <v>2090</v>
      </c>
      <c r="I724" s="11" t="inlineStr">
        <is>
          <t>Md. Shujon Ali</t>
        </is>
      </c>
      <c r="J724" s="10">
        <f>IF(K724&gt;0, "Completed", "Pending")</f>
        <v/>
      </c>
      <c r="K724" s="10">
        <f>COUNTIF('Survey Responses'!F:F, F724)</f>
        <v/>
      </c>
    </row>
    <row r="725">
      <c r="A725" s="10" t="n">
        <v>724</v>
      </c>
      <c r="B725" s="11" t="inlineStr">
        <is>
          <t>Feni (GEN-A)</t>
        </is>
      </c>
      <c r="C725" s="11" t="inlineStr">
        <is>
          <t>Mr. Md. Monir Hossain</t>
        </is>
      </c>
      <c r="D725" s="11" t="inlineStr">
        <is>
          <t>Daganbhuiyan GEN-A-1</t>
        </is>
      </c>
      <c r="E725" s="11" t="inlineStr">
        <is>
          <t>Mahabul Hossain</t>
        </is>
      </c>
      <c r="F725" s="10" t="n">
        <v>11003</v>
      </c>
      <c r="G725" s="11" t="inlineStr">
        <is>
          <t>Basurhat-2</t>
        </is>
      </c>
      <c r="H725" s="10" t="n">
        <v>1598</v>
      </c>
      <c r="I725" s="11" t="inlineStr">
        <is>
          <t>Md. Manik Ali</t>
        </is>
      </c>
      <c r="J725" s="10">
        <f>IF(K725&gt;0, "Completed", "Pending")</f>
        <v/>
      </c>
      <c r="K725" s="10">
        <f>COUNTIF('Survey Responses'!F:F, F725)</f>
        <v/>
      </c>
    </row>
    <row r="726">
      <c r="A726" s="10" t="n">
        <v>725</v>
      </c>
      <c r="B726" s="11" t="inlineStr">
        <is>
          <t>Feni (GEN-A)</t>
        </is>
      </c>
      <c r="C726" s="11" t="inlineStr">
        <is>
          <t>Mr. Md. Monir Hossain</t>
        </is>
      </c>
      <c r="D726" s="11" t="inlineStr">
        <is>
          <t>Daganbhuiyan GEN-A-1</t>
        </is>
      </c>
      <c r="E726" s="11" t="inlineStr">
        <is>
          <t>Mahabul Hossain</t>
        </is>
      </c>
      <c r="F726" s="10" t="n">
        <v>11001</v>
      </c>
      <c r="G726" s="11" t="inlineStr">
        <is>
          <t>Basurhat-3</t>
        </is>
      </c>
      <c r="H726" s="10" t="n">
        <v>1333</v>
      </c>
      <c r="I726" s="11" t="inlineStr">
        <is>
          <t>Md. Omar Faruk</t>
        </is>
      </c>
      <c r="J726" s="10">
        <f>IF(K726&gt;0, "Completed", "Pending")</f>
        <v/>
      </c>
      <c r="K726" s="10">
        <f>COUNTIF('Survey Responses'!F:F, F726)</f>
        <v/>
      </c>
    </row>
    <row r="727">
      <c r="A727" s="10" t="n">
        <v>726</v>
      </c>
      <c r="B727" s="11" t="inlineStr">
        <is>
          <t>Feni (GEN-A)</t>
        </is>
      </c>
      <c r="C727" s="11" t="inlineStr">
        <is>
          <t>Mr. Md. Monir Hossain</t>
        </is>
      </c>
      <c r="D727" s="11" t="inlineStr">
        <is>
          <t>Daganbhuiyan GEN-A-1</t>
        </is>
      </c>
      <c r="E727" s="11" t="inlineStr">
        <is>
          <t>Mahabul Hossain</t>
        </is>
      </c>
      <c r="F727" s="10" t="n">
        <v>14577</v>
      </c>
      <c r="G727" s="11" t="inlineStr">
        <is>
          <t>Basurhat-4</t>
        </is>
      </c>
      <c r="H727" s="10" t="n">
        <v>7615</v>
      </c>
      <c r="I727" s="11" t="inlineStr">
        <is>
          <t>Mr. Akhlakur Rahman</t>
        </is>
      </c>
      <c r="J727" s="10">
        <f>IF(K727&gt;0, "Completed", "Pending")</f>
        <v/>
      </c>
      <c r="K727" s="10">
        <f>COUNTIF('Survey Responses'!F:F, F727)</f>
        <v/>
      </c>
    </row>
    <row r="728">
      <c r="A728" s="10" t="n">
        <v>727</v>
      </c>
      <c r="B728" s="11" t="inlineStr">
        <is>
          <t>Feni (GEN-A)</t>
        </is>
      </c>
      <c r="C728" s="11" t="inlineStr">
        <is>
          <t>Mr. Md. Monir Hossain</t>
        </is>
      </c>
      <c r="D728" s="11" t="inlineStr">
        <is>
          <t>Daganbhuiyan GEN-A-1</t>
        </is>
      </c>
      <c r="E728" s="11" t="inlineStr">
        <is>
          <t>Mahabul Hossain</t>
        </is>
      </c>
      <c r="F728" s="10" t="n">
        <v>10999</v>
      </c>
      <c r="G728" s="11" t="inlineStr">
        <is>
          <t>Daganbhuiyan-1</t>
        </is>
      </c>
      <c r="H728" s="10" t="n">
        <v>878</v>
      </c>
      <c r="I728" s="11" t="inlineStr">
        <is>
          <t>Md. Faruk Ahmmad</t>
        </is>
      </c>
      <c r="J728" s="10">
        <f>IF(K728&gt;0, "Completed", "Pending")</f>
        <v/>
      </c>
      <c r="K728" s="10">
        <f>COUNTIF('Survey Responses'!F:F, F728)</f>
        <v/>
      </c>
    </row>
    <row r="729">
      <c r="A729" s="10" t="n">
        <v>728</v>
      </c>
      <c r="B729" s="11" t="inlineStr">
        <is>
          <t>Feni (GEN-A)</t>
        </is>
      </c>
      <c r="C729" s="11" t="inlineStr">
        <is>
          <t>Mr. Md. Monir Hossain</t>
        </is>
      </c>
      <c r="D729" s="11" t="inlineStr">
        <is>
          <t>Daganbhuiyan GEN-A-1</t>
        </is>
      </c>
      <c r="E729" s="11" t="inlineStr">
        <is>
          <t>Mahabul Hossain</t>
        </is>
      </c>
      <c r="F729" s="10" t="n">
        <v>10998</v>
      </c>
      <c r="G729" s="11" t="inlineStr">
        <is>
          <t>Daganbhuiyan-2</t>
        </is>
      </c>
      <c r="H729" s="10" t="n">
        <v>6498</v>
      </c>
      <c r="I729" s="11" t="inlineStr">
        <is>
          <t>Mr. Md. Maruf Hossain</t>
        </is>
      </c>
      <c r="J729" s="10">
        <f>IF(K729&gt;0, "Completed", "Pending")</f>
        <v/>
      </c>
      <c r="K729" s="10">
        <f>COUNTIF('Survey Responses'!F:F, F729)</f>
        <v/>
      </c>
    </row>
    <row r="730">
      <c r="A730" s="10" t="n">
        <v>729</v>
      </c>
      <c r="B730" s="11" t="inlineStr">
        <is>
          <t>Feni (GEN-A)</t>
        </is>
      </c>
      <c r="C730" s="11" t="inlineStr">
        <is>
          <t>Mr. Md. Monir Hossain</t>
        </is>
      </c>
      <c r="D730" s="11" t="inlineStr">
        <is>
          <t>Daganbhuiyan GEN-A-1</t>
        </is>
      </c>
      <c r="E730" s="11" t="inlineStr">
        <is>
          <t>Mahabul Hossain</t>
        </is>
      </c>
      <c r="F730" s="10" t="n">
        <v>11000</v>
      </c>
      <c r="G730" s="11" t="inlineStr">
        <is>
          <t>Daganbhuiyan-3</t>
        </is>
      </c>
      <c r="H730" s="10" t="n">
        <v>5328</v>
      </c>
      <c r="I730" s="11" t="inlineStr">
        <is>
          <t>Mr. Md. Amir Hamja</t>
        </is>
      </c>
      <c r="J730" s="10">
        <f>IF(K730&gt;0, "Completed", "Pending")</f>
        <v/>
      </c>
      <c r="K730" s="10">
        <f>COUNTIF('Survey Responses'!F:F, F730)</f>
        <v/>
      </c>
    </row>
    <row r="731">
      <c r="A731" s="10" t="n">
        <v>730</v>
      </c>
      <c r="B731" s="11" t="inlineStr">
        <is>
          <t>Feni (GEN-A)</t>
        </is>
      </c>
      <c r="C731" s="11" t="inlineStr">
        <is>
          <t>Mr. Md. Monir Hossain</t>
        </is>
      </c>
      <c r="D731" s="11" t="inlineStr">
        <is>
          <t>Daganbhuiyan GEN-A-1</t>
        </is>
      </c>
      <c r="E731" s="11" t="inlineStr">
        <is>
          <t>Mahabul Hossain</t>
        </is>
      </c>
      <c r="F731" s="10" t="n">
        <v>12970</v>
      </c>
      <c r="G731" s="11" t="inlineStr">
        <is>
          <t>Shebarhat-1</t>
        </is>
      </c>
      <c r="H731" s="10" t="n">
        <v>3086</v>
      </c>
      <c r="I731" s="11" t="inlineStr">
        <is>
          <t>Faizur Rahman</t>
        </is>
      </c>
      <c r="J731" s="10">
        <f>IF(K731&gt;0, "Completed", "Pending")</f>
        <v/>
      </c>
      <c r="K731" s="10">
        <f>COUNTIF('Survey Responses'!F:F, F731)</f>
        <v/>
      </c>
    </row>
    <row r="732">
      <c r="A732" s="10" t="n">
        <v>731</v>
      </c>
      <c r="B732" s="11" t="inlineStr">
        <is>
          <t>Feni (GEN-A)</t>
        </is>
      </c>
      <c r="C732" s="11" t="inlineStr">
        <is>
          <t>Mr. Md. Monir Hossain</t>
        </is>
      </c>
      <c r="D732" s="11" t="inlineStr">
        <is>
          <t>Feni GEN-A-1</t>
        </is>
      </c>
      <c r="E732" s="11" t="inlineStr">
        <is>
          <t>Bulbul Ahmed</t>
        </is>
      </c>
      <c r="F732" s="10" t="n">
        <v>10970</v>
      </c>
      <c r="G732" s="11" t="inlineStr">
        <is>
          <t>Feni (Diabetic)-1</t>
        </is>
      </c>
      <c r="H732" s="10" t="n">
        <v>9069</v>
      </c>
      <c r="I732" s="11" t="inlineStr">
        <is>
          <t>Mr. Md. Mehedi Hasan</t>
        </is>
      </c>
      <c r="J732" s="10">
        <f>IF(K732&gt;0, "Completed", "Pending")</f>
        <v/>
      </c>
      <c r="K732" s="10">
        <f>COUNTIF('Survey Responses'!F:F, F732)</f>
        <v/>
      </c>
    </row>
    <row r="733">
      <c r="A733" s="10" t="n">
        <v>732</v>
      </c>
      <c r="B733" s="11" t="inlineStr">
        <is>
          <t>Feni (GEN-A)</t>
        </is>
      </c>
      <c r="C733" s="11" t="inlineStr">
        <is>
          <t>Mr. Md. Monir Hossain</t>
        </is>
      </c>
      <c r="D733" s="11" t="inlineStr">
        <is>
          <t>Feni GEN-A-1</t>
        </is>
      </c>
      <c r="E733" s="11" t="inlineStr">
        <is>
          <t>Bulbul Ahmed</t>
        </is>
      </c>
      <c r="F733" s="10" t="n">
        <v>10969</v>
      </c>
      <c r="G733" s="11" t="inlineStr">
        <is>
          <t>Feni (Diabetic)-2</t>
        </is>
      </c>
      <c r="H733" s="10" t="n">
        <v>2771</v>
      </c>
      <c r="I733" s="11" t="inlineStr">
        <is>
          <t>Md. Saddam Hosen</t>
        </is>
      </c>
      <c r="J733" s="10">
        <f>IF(K733&gt;0, "Completed", "Pending")</f>
        <v/>
      </c>
      <c r="K733" s="10">
        <f>COUNTIF('Survey Responses'!F:F, F733)</f>
        <v/>
      </c>
    </row>
    <row r="734">
      <c r="A734" s="10" t="n">
        <v>733</v>
      </c>
      <c r="B734" s="11" t="inlineStr">
        <is>
          <t>Feni (GEN-A)</t>
        </is>
      </c>
      <c r="C734" s="11" t="inlineStr">
        <is>
          <t>Mr. Md. Monir Hossain</t>
        </is>
      </c>
      <c r="D734" s="11" t="inlineStr">
        <is>
          <t>Feni GEN-A-1</t>
        </is>
      </c>
      <c r="E734" s="11" t="inlineStr">
        <is>
          <t>Bulbul Ahmed</t>
        </is>
      </c>
      <c r="F734" s="10" t="n">
        <v>10971</v>
      </c>
      <c r="G734" s="11" t="inlineStr">
        <is>
          <t>Feni (Ultrapath)</t>
        </is>
      </c>
      <c r="H734" s="10" t="n">
        <v>5497</v>
      </c>
      <c r="I734" s="11" t="inlineStr">
        <is>
          <t>Mr. Md. Nasim Sheikh</t>
        </is>
      </c>
      <c r="J734" s="10">
        <f>IF(K734&gt;0, "Completed", "Pending")</f>
        <v/>
      </c>
      <c r="K734" s="10">
        <f>COUNTIF('Survey Responses'!F:F, F734)</f>
        <v/>
      </c>
    </row>
    <row r="735">
      <c r="A735" s="10" t="n">
        <v>734</v>
      </c>
      <c r="B735" s="11" t="inlineStr">
        <is>
          <t>Feni (GEN-A)</t>
        </is>
      </c>
      <c r="C735" s="11" t="inlineStr">
        <is>
          <t>Mr. Md. Monir Hossain</t>
        </is>
      </c>
      <c r="D735" s="11" t="inlineStr">
        <is>
          <t>Feni GEN-A-1</t>
        </is>
      </c>
      <c r="E735" s="11" t="inlineStr">
        <is>
          <t>Bulbul Ahmed</t>
        </is>
      </c>
      <c r="F735" s="10" t="n">
        <v>10973</v>
      </c>
      <c r="G735" s="11" t="inlineStr">
        <is>
          <t>Feni (Z. U. Hospital)</t>
        </is>
      </c>
      <c r="H735" s="10" t="n">
        <v>8318</v>
      </c>
      <c r="I735" s="11" t="inlineStr">
        <is>
          <t>Mr. Tarekul Islam</t>
        </is>
      </c>
      <c r="J735" s="10">
        <f>IF(K735&gt;0, "Completed", "Pending")</f>
        <v/>
      </c>
      <c r="K735" s="10">
        <f>COUNTIF('Survey Responses'!F:F, F735)</f>
        <v/>
      </c>
    </row>
    <row r="736">
      <c r="A736" s="10" t="n">
        <v>735</v>
      </c>
      <c r="B736" s="11" t="inlineStr">
        <is>
          <t>Feni (GEN-A)</t>
        </is>
      </c>
      <c r="C736" s="11" t="inlineStr">
        <is>
          <t>Mr. Md. Monir Hossain</t>
        </is>
      </c>
      <c r="D736" s="11" t="inlineStr">
        <is>
          <t>Feni GEN-A-1</t>
        </is>
      </c>
      <c r="E736" s="11" t="inlineStr">
        <is>
          <t>Bulbul Ahmed</t>
        </is>
      </c>
      <c r="F736" s="10" t="n">
        <v>10967</v>
      </c>
      <c r="G736" s="11" t="inlineStr">
        <is>
          <t>Sonagazi-1</t>
        </is>
      </c>
      <c r="H736" s="10" t="n">
        <v>979</v>
      </c>
      <c r="I736" s="11" t="inlineStr">
        <is>
          <t>Md. Saiful Islam</t>
        </is>
      </c>
      <c r="J736" s="10">
        <f>IF(K736&gt;0, "Completed", "Pending")</f>
        <v/>
      </c>
      <c r="K736" s="10">
        <f>COUNTIF('Survey Responses'!F:F, F736)</f>
        <v/>
      </c>
    </row>
    <row r="737">
      <c r="A737" s="10" t="n">
        <v>736</v>
      </c>
      <c r="B737" s="11" t="inlineStr">
        <is>
          <t>Feni (GEN-A)</t>
        </is>
      </c>
      <c r="C737" s="11" t="inlineStr">
        <is>
          <t>Mr. Md. Monir Hossain</t>
        </is>
      </c>
      <c r="D737" s="11" t="inlineStr">
        <is>
          <t>Feni GEN-A-1</t>
        </is>
      </c>
      <c r="E737" s="11" t="inlineStr">
        <is>
          <t>Bulbul Ahmed</t>
        </is>
      </c>
      <c r="F737" s="10" t="n">
        <v>10968</v>
      </c>
      <c r="G737" s="11" t="inlineStr">
        <is>
          <t>Sonagazi-2</t>
        </is>
      </c>
      <c r="H737" s="10" t="n">
        <v>6558</v>
      </c>
      <c r="I737" s="11" t="inlineStr">
        <is>
          <t>Mr. Mr. Kawsar Ahmed</t>
        </is>
      </c>
      <c r="J737" s="10">
        <f>IF(K737&gt;0, "Completed", "Pending")</f>
        <v/>
      </c>
      <c r="K737" s="10">
        <f>COUNTIF('Survey Responses'!F:F, F737)</f>
        <v/>
      </c>
    </row>
    <row r="738">
      <c r="A738" s="10" t="n">
        <v>737</v>
      </c>
      <c r="B738" s="11" t="inlineStr">
        <is>
          <t>Feni (GEN-A)</t>
        </is>
      </c>
      <c r="C738" s="11" t="inlineStr">
        <is>
          <t>Mr. Md. Monir Hossain</t>
        </is>
      </c>
      <c r="D738" s="11" t="inlineStr">
        <is>
          <t>Feni GEN-A-1</t>
        </is>
      </c>
      <c r="E738" s="11" t="inlineStr">
        <is>
          <t>Bulbul Ahmed</t>
        </is>
      </c>
      <c r="F738" s="10" t="n">
        <v>12400</v>
      </c>
      <c r="G738" s="11" t="inlineStr">
        <is>
          <t>Sonagazi-3</t>
        </is>
      </c>
      <c r="H738" s="10" t="n">
        <v>3819</v>
      </c>
      <c r="I738" s="11" t="inlineStr">
        <is>
          <t>Mr. Enamul Haque</t>
        </is>
      </c>
      <c r="J738" s="10">
        <f>IF(K738&gt;0, "Completed", "Pending")</f>
        <v/>
      </c>
      <c r="K738" s="10">
        <f>COUNTIF('Survey Responses'!F:F, F738)</f>
        <v/>
      </c>
    </row>
    <row r="739">
      <c r="A739" s="10" t="n">
        <v>738</v>
      </c>
      <c r="B739" s="11" t="inlineStr">
        <is>
          <t>Feni (GEN-A)</t>
        </is>
      </c>
      <c r="C739" s="11" t="inlineStr">
        <is>
          <t>Mr. Md. Monir Hossain</t>
        </is>
      </c>
      <c r="D739" s="11" t="inlineStr">
        <is>
          <t>Feni GEN-A-2</t>
        </is>
      </c>
      <c r="E739" s="11" t="inlineStr">
        <is>
          <t>Mr. Md. Noor Alam Siddique</t>
        </is>
      </c>
      <c r="F739" s="10" t="n">
        <v>10972</v>
      </c>
      <c r="G739" s="11" t="inlineStr">
        <is>
          <t>Feni (Al-Kemy)</t>
        </is>
      </c>
      <c r="H739" s="10" t="n">
        <v>778</v>
      </c>
      <c r="I739" s="11" t="inlineStr">
        <is>
          <t>Md. Mahmudan Nobi</t>
        </is>
      </c>
      <c r="J739" s="10">
        <f>IF(K739&gt;0, "Completed", "Pending")</f>
        <v/>
      </c>
      <c r="K739" s="10">
        <f>COUNTIF('Survey Responses'!F:F, F739)</f>
        <v/>
      </c>
    </row>
    <row r="740">
      <c r="A740" s="10" t="n">
        <v>739</v>
      </c>
      <c r="B740" s="11" t="inlineStr">
        <is>
          <t>Feni (GEN-A)</t>
        </is>
      </c>
      <c r="C740" s="11" t="inlineStr">
        <is>
          <t>Mr. Md. Monir Hossain</t>
        </is>
      </c>
      <c r="D740" s="11" t="inlineStr">
        <is>
          <t>Feni GEN-A-2</t>
        </is>
      </c>
      <c r="E740" s="11" t="inlineStr">
        <is>
          <t>Mr. Md. Noor Alam Siddique</t>
        </is>
      </c>
      <c r="F740" s="10" t="n">
        <v>10976</v>
      </c>
      <c r="G740" s="11" t="inlineStr">
        <is>
          <t>Feni (Apollo)</t>
        </is>
      </c>
      <c r="H740" s="10" t="n">
        <v>1792</v>
      </c>
      <c r="I740" s="11" t="inlineStr">
        <is>
          <t>Ataur Rahman</t>
        </is>
      </c>
      <c r="J740" s="10">
        <f>IF(K740&gt;0, "Completed", "Pending")</f>
        <v/>
      </c>
      <c r="K740" s="10">
        <f>COUNTIF('Survey Responses'!F:F, F740)</f>
        <v/>
      </c>
    </row>
    <row r="741">
      <c r="A741" s="10" t="n">
        <v>740</v>
      </c>
      <c r="B741" s="11" t="inlineStr">
        <is>
          <t>Feni (GEN-A)</t>
        </is>
      </c>
      <c r="C741" s="11" t="inlineStr">
        <is>
          <t>Mr. Md. Monir Hossain</t>
        </is>
      </c>
      <c r="D741" s="11" t="inlineStr">
        <is>
          <t>Feni GEN-A-2</t>
        </is>
      </c>
      <c r="E741" s="11" t="inlineStr">
        <is>
          <t>Mr. Md. Noor Alam Siddique</t>
        </is>
      </c>
      <c r="F741" s="10" t="n">
        <v>14827</v>
      </c>
      <c r="G741" s="11" t="inlineStr">
        <is>
          <t>Feni (General Hospital)-1</t>
        </is>
      </c>
      <c r="H741" s="10" t="n">
        <v>8854</v>
      </c>
      <c r="I741" s="11" t="inlineStr">
        <is>
          <t>Mr. Md. Rifadul Islam</t>
        </is>
      </c>
      <c r="J741" s="10">
        <f>IF(K741&gt;0, "Completed", "Pending")</f>
        <v/>
      </c>
      <c r="K741" s="10">
        <f>COUNTIF('Survey Responses'!F:F, F741)</f>
        <v/>
      </c>
    </row>
    <row r="742">
      <c r="A742" s="10" t="n">
        <v>741</v>
      </c>
      <c r="B742" s="11" t="inlineStr">
        <is>
          <t>Feni (GEN-A)</t>
        </is>
      </c>
      <c r="C742" s="11" t="inlineStr">
        <is>
          <t>Mr. Md. Monir Hossain</t>
        </is>
      </c>
      <c r="D742" s="11" t="inlineStr">
        <is>
          <t>Feni GEN-A-2</t>
        </is>
      </c>
      <c r="E742" s="11" t="inlineStr">
        <is>
          <t>Mr. Md. Noor Alam Siddique</t>
        </is>
      </c>
      <c r="F742" s="10" t="n">
        <v>10980</v>
      </c>
      <c r="G742" s="11" t="inlineStr">
        <is>
          <t>Feni (Medinova)</t>
        </is>
      </c>
      <c r="H742" s="10" t="n">
        <v>5185</v>
      </c>
      <c r="I742" s="11" t="inlineStr">
        <is>
          <t>Mr. Md. Sohel Rana</t>
        </is>
      </c>
      <c r="J742" s="10">
        <f>IF(K742&gt;0, "Completed", "Pending")</f>
        <v/>
      </c>
      <c r="K742" s="10">
        <f>COUNTIF('Survey Responses'!F:F, F742)</f>
        <v/>
      </c>
    </row>
    <row r="743">
      <c r="A743" s="10" t="n">
        <v>742</v>
      </c>
      <c r="B743" s="11" t="inlineStr">
        <is>
          <t>Feni (GEN-A)</t>
        </is>
      </c>
      <c r="C743" s="11" t="inlineStr">
        <is>
          <t>Mr. Md. Monir Hossain</t>
        </is>
      </c>
      <c r="D743" s="11" t="inlineStr">
        <is>
          <t>Feni GEN-A-2</t>
        </is>
      </c>
      <c r="E743" s="11" t="inlineStr">
        <is>
          <t>Mr. Md. Noor Alam Siddique</t>
        </is>
      </c>
      <c r="F743" s="10" t="n">
        <v>10975</v>
      </c>
      <c r="G743" s="11" t="inlineStr">
        <is>
          <t>Feni (Uposhamo)</t>
        </is>
      </c>
      <c r="H743" s="10" t="n">
        <v>1695</v>
      </c>
      <c r="I743" s="11" t="inlineStr">
        <is>
          <t>Raduan Jahan</t>
        </is>
      </c>
      <c r="J743" s="10">
        <f>IF(K743&gt;0, "Completed", "Pending")</f>
        <v/>
      </c>
      <c r="K743" s="10">
        <f>COUNTIF('Survey Responses'!F:F, F743)</f>
        <v/>
      </c>
    </row>
    <row r="744">
      <c r="A744" s="10" t="n">
        <v>743</v>
      </c>
      <c r="B744" s="11" t="inlineStr">
        <is>
          <t>Feni (GEN-A)</t>
        </is>
      </c>
      <c r="C744" s="11" t="inlineStr">
        <is>
          <t>Mr. Md. Monir Hossain</t>
        </is>
      </c>
      <c r="D744" s="11" t="inlineStr">
        <is>
          <t>Feni GEN-A-2</t>
        </is>
      </c>
      <c r="E744" s="11" t="inlineStr">
        <is>
          <t>Mr. Md. Noor Alam Siddique</t>
        </is>
      </c>
      <c r="F744" s="10" t="n">
        <v>10979</v>
      </c>
      <c r="G744" s="11" t="inlineStr">
        <is>
          <t>Gonoboti</t>
        </is>
      </c>
      <c r="H744" s="10" t="n">
        <v>1095</v>
      </c>
      <c r="I744" s="11" t="inlineStr">
        <is>
          <t>Md. Jalal Uddin</t>
        </is>
      </c>
      <c r="J744" s="10">
        <f>IF(K744&gt;0, "Completed", "Pending")</f>
        <v/>
      </c>
      <c r="K744" s="10">
        <f>COUNTIF('Survey Responses'!F:F, F744)</f>
        <v/>
      </c>
    </row>
    <row r="745">
      <c r="A745" s="10" t="n">
        <v>744</v>
      </c>
      <c r="B745" s="11" t="inlineStr">
        <is>
          <t>Feni (GEN-A)</t>
        </is>
      </c>
      <c r="C745" s="11" t="inlineStr">
        <is>
          <t>Mr. Md. Monir Hossain</t>
        </is>
      </c>
      <c r="D745" s="11" t="inlineStr">
        <is>
          <t>Feni GEN-A-2</t>
        </is>
      </c>
      <c r="E745" s="11" t="inlineStr">
        <is>
          <t>Mr. Md. Noor Alam Siddique</t>
        </is>
      </c>
      <c r="F745" s="10" t="n">
        <v>12336</v>
      </c>
      <c r="G745" s="11" t="inlineStr">
        <is>
          <t>Laskarhat-1</t>
        </is>
      </c>
      <c r="H745" s="10" t="n">
        <v>3719</v>
      </c>
      <c r="I745" s="11" t="inlineStr">
        <is>
          <t>Mr. Md. Zafor Iqbal</t>
        </is>
      </c>
      <c r="J745" s="10">
        <f>IF(K745&gt;0, "Completed", "Pending")</f>
        <v/>
      </c>
      <c r="K745" s="10">
        <f>COUNTIF('Survey Responses'!F:F, F745)</f>
        <v/>
      </c>
    </row>
    <row r="746">
      <c r="A746" s="10" t="n">
        <v>745</v>
      </c>
      <c r="B746" s="11" t="inlineStr">
        <is>
          <t>Feni (GEN-A)</t>
        </is>
      </c>
      <c r="C746" s="11" t="inlineStr">
        <is>
          <t>Mr. Md. Monir Hossain</t>
        </is>
      </c>
      <c r="D746" s="11" t="inlineStr">
        <is>
          <t>Feni GEN-A-3</t>
        </is>
      </c>
      <c r="E746" s="11" t="inlineStr">
        <is>
          <t>Md. Rakibul Alam</t>
        </is>
      </c>
      <c r="F746" s="10" t="n">
        <v>10978</v>
      </c>
      <c r="G746" s="11" t="inlineStr">
        <is>
          <t>Feni (Concept)</t>
        </is>
      </c>
      <c r="H746" s="10" t="n">
        <v>7378</v>
      </c>
      <c r="I746" s="11" t="inlineStr">
        <is>
          <t>Mr. Md. Awal Hossain</t>
        </is>
      </c>
      <c r="J746" s="10">
        <f>IF(K746&gt;0, "Completed", "Pending")</f>
        <v/>
      </c>
      <c r="K746" s="10">
        <f>COUNTIF('Survey Responses'!F:F, F746)</f>
        <v/>
      </c>
    </row>
    <row r="747">
      <c r="A747" s="10" t="n">
        <v>746</v>
      </c>
      <c r="B747" s="11" t="inlineStr">
        <is>
          <t>Feni (GEN-A)</t>
        </is>
      </c>
      <c r="C747" s="11" t="inlineStr">
        <is>
          <t>Mr. Md. Monir Hossain</t>
        </is>
      </c>
      <c r="D747" s="11" t="inlineStr">
        <is>
          <t>Feni GEN-A-3</t>
        </is>
      </c>
      <c r="E747" s="11" t="inlineStr">
        <is>
          <t>Md. Rakibul Alam</t>
        </is>
      </c>
      <c r="F747" s="10" t="n">
        <v>10984</v>
      </c>
      <c r="G747" s="11" t="inlineStr">
        <is>
          <t>Feni (Ibn Sina)</t>
        </is>
      </c>
      <c r="H747" s="10" t="n">
        <v>1873</v>
      </c>
      <c r="I747" s="11" t="inlineStr">
        <is>
          <t>Md. Mohasin Ali</t>
        </is>
      </c>
      <c r="J747" s="10">
        <f>IF(K747&gt;0, "Completed", "Pending")</f>
        <v/>
      </c>
      <c r="K747" s="10">
        <f>COUNTIF('Survey Responses'!F:F, F747)</f>
        <v/>
      </c>
    </row>
    <row r="748">
      <c r="A748" s="10" t="n">
        <v>747</v>
      </c>
      <c r="B748" s="11" t="inlineStr">
        <is>
          <t>Feni (GEN-A)</t>
        </is>
      </c>
      <c r="C748" s="11" t="inlineStr">
        <is>
          <t>Mr. Md. Monir Hossain</t>
        </is>
      </c>
      <c r="D748" s="11" t="inlineStr">
        <is>
          <t>Feni GEN-A-3</t>
        </is>
      </c>
      <c r="E748" s="11" t="inlineStr">
        <is>
          <t>Md. Rakibul Alam</t>
        </is>
      </c>
      <c r="F748" s="10" t="n">
        <v>12537</v>
      </c>
      <c r="G748" s="11" t="inlineStr">
        <is>
          <t>Feni (Max)</t>
        </is>
      </c>
      <c r="H748" s="10" t="n">
        <v>5736</v>
      </c>
      <c r="I748" s="11" t="inlineStr">
        <is>
          <t>Mr. Md. Khatikul Islam</t>
        </is>
      </c>
      <c r="J748" s="10">
        <f>IF(K748&gt;0, "Completed", "Pending")</f>
        <v/>
      </c>
      <c r="K748" s="10">
        <f>COUNTIF('Survey Responses'!F:F, F748)</f>
        <v/>
      </c>
    </row>
    <row r="749">
      <c r="A749" s="10" t="n">
        <v>748</v>
      </c>
      <c r="B749" s="11" t="inlineStr">
        <is>
          <t>Feni (GEN-A)</t>
        </is>
      </c>
      <c r="C749" s="11" t="inlineStr">
        <is>
          <t>Mr. Md. Monir Hossain</t>
        </is>
      </c>
      <c r="D749" s="11" t="inlineStr">
        <is>
          <t>Feni GEN-A-3</t>
        </is>
      </c>
      <c r="E749" s="11" t="inlineStr">
        <is>
          <t>Md. Rakibul Alam</t>
        </is>
      </c>
      <c r="F749" s="10" t="n">
        <v>10966</v>
      </c>
      <c r="G749" s="11" t="inlineStr">
        <is>
          <t>Feni (Square Lab)</t>
        </is>
      </c>
      <c r="H749" s="10" t="n">
        <v>1751</v>
      </c>
      <c r="I749" s="11" t="inlineStr">
        <is>
          <t>Md. Juel Hosen</t>
        </is>
      </c>
      <c r="J749" s="10">
        <f>IF(K749&gt;0, "Completed", "Pending")</f>
        <v/>
      </c>
      <c r="K749" s="10">
        <f>COUNTIF('Survey Responses'!F:F, F749)</f>
        <v/>
      </c>
    </row>
    <row r="750">
      <c r="A750" s="10" t="n">
        <v>749</v>
      </c>
      <c r="B750" s="11" t="inlineStr">
        <is>
          <t>Feni (GEN-A)</t>
        </is>
      </c>
      <c r="C750" s="11" t="inlineStr">
        <is>
          <t>Mr. Md. Monir Hossain</t>
        </is>
      </c>
      <c r="D750" s="11" t="inlineStr">
        <is>
          <t>Feni GEN-A-3</t>
        </is>
      </c>
      <c r="E750" s="11" t="inlineStr">
        <is>
          <t>Md. Rakibul Alam</t>
        </is>
      </c>
      <c r="F750" s="10" t="n">
        <v>14657</v>
      </c>
      <c r="G750" s="11" t="inlineStr">
        <is>
          <t>Feni (Star-Line Hosp.)</t>
        </is>
      </c>
      <c r="H750" s="10" t="n">
        <v>2273</v>
      </c>
      <c r="I750" s="11" t="inlineStr">
        <is>
          <t>Md. Shahinul Islam</t>
        </is>
      </c>
      <c r="J750" s="10">
        <f>IF(K750&gt;0, "Completed", "Pending")</f>
        <v/>
      </c>
      <c r="K750" s="10">
        <f>COUNTIF('Survey Responses'!F:F, F750)</f>
        <v/>
      </c>
    </row>
    <row r="751">
      <c r="A751" s="10" t="n">
        <v>750</v>
      </c>
      <c r="B751" s="11" t="inlineStr">
        <is>
          <t>Feni (GEN-A)</t>
        </is>
      </c>
      <c r="C751" s="11" t="inlineStr">
        <is>
          <t>Mr. Md. Monir Hossain</t>
        </is>
      </c>
      <c r="D751" s="11" t="inlineStr">
        <is>
          <t>Feni GEN-A-3</t>
        </is>
      </c>
      <c r="E751" s="11" t="inlineStr">
        <is>
          <t>Md. Rakibul Alam</t>
        </is>
      </c>
      <c r="F751" s="10" t="n">
        <v>14656</v>
      </c>
      <c r="G751" s="11" t="inlineStr">
        <is>
          <t>Lemua-1</t>
        </is>
      </c>
      <c r="H751" s="10" t="n">
        <v>1558</v>
      </c>
      <c r="I751" s="11" t="inlineStr">
        <is>
          <t>Khandakar Mokit Hasan</t>
        </is>
      </c>
      <c r="J751" s="10">
        <f>IF(K751&gt;0, "Completed", "Pending")</f>
        <v/>
      </c>
      <c r="K751" s="10">
        <f>COUNTIF('Survey Responses'!F:F, F751)</f>
        <v/>
      </c>
    </row>
    <row r="752">
      <c r="A752" s="10" t="n">
        <v>751</v>
      </c>
      <c r="B752" s="11" t="inlineStr">
        <is>
          <t>Feni (GEN-A)</t>
        </is>
      </c>
      <c r="C752" s="11" t="inlineStr">
        <is>
          <t>Mr. Md. Monir Hossain</t>
        </is>
      </c>
      <c r="D752" s="11" t="inlineStr">
        <is>
          <t>Feni GEN-A-3</t>
        </is>
      </c>
      <c r="E752" s="11" t="inlineStr">
        <is>
          <t>Md. Rakibul Alam</t>
        </is>
      </c>
      <c r="F752" s="10" t="n">
        <v>14531</v>
      </c>
      <c r="G752" s="11" t="inlineStr">
        <is>
          <t>Silonia Bazar-1</t>
        </is>
      </c>
      <c r="H752" s="10" t="n">
        <v>5394</v>
      </c>
      <c r="I752" s="11" t="inlineStr">
        <is>
          <t>Md. Mafizul Haque</t>
        </is>
      </c>
      <c r="J752" s="10">
        <f>IF(K752&gt;0, "Completed", "Pending")</f>
        <v/>
      </c>
      <c r="K752" s="10">
        <f>COUNTIF('Survey Responses'!F:F, F752)</f>
        <v/>
      </c>
    </row>
    <row r="753">
      <c r="A753" s="10" t="n">
        <v>752</v>
      </c>
      <c r="B753" s="11" t="inlineStr">
        <is>
          <t>Feni (GEN-A)</t>
        </is>
      </c>
      <c r="C753" s="11" t="inlineStr">
        <is>
          <t>Mr. Md. Monir Hossain</t>
        </is>
      </c>
      <c r="D753" s="11" t="inlineStr">
        <is>
          <t>Nangolkot GEN-A-1</t>
        </is>
      </c>
      <c r="E753" s="11" t="inlineStr">
        <is>
          <t>Amrita Kumar Paul</t>
        </is>
      </c>
      <c r="F753" s="10" t="n">
        <v>10997</v>
      </c>
      <c r="G753" s="11" t="inlineStr">
        <is>
          <t>Bagmara</t>
        </is>
      </c>
      <c r="H753" s="10" t="n">
        <v>2095</v>
      </c>
      <c r="I753" s="11" t="inlineStr">
        <is>
          <t>Md. Masud Rana</t>
        </is>
      </c>
      <c r="J753" s="10">
        <f>IF(K753&gt;0, "Completed", "Pending")</f>
        <v/>
      </c>
      <c r="K753" s="10">
        <f>COUNTIF('Survey Responses'!F:F, F753)</f>
        <v/>
      </c>
    </row>
    <row r="754">
      <c r="A754" s="10" t="n">
        <v>753</v>
      </c>
      <c r="B754" s="11" t="inlineStr">
        <is>
          <t>Feni (GEN-A)</t>
        </is>
      </c>
      <c r="C754" s="11" t="inlineStr">
        <is>
          <t>Mr. Md. Monir Hossain</t>
        </is>
      </c>
      <c r="D754" s="11" t="inlineStr">
        <is>
          <t>Nangolkot GEN-A-1</t>
        </is>
      </c>
      <c r="E754" s="11" t="inlineStr">
        <is>
          <t>Amrita Kumar Paul</t>
        </is>
      </c>
      <c r="F754" s="10" t="n">
        <v>14576</v>
      </c>
      <c r="G754" s="11" t="inlineStr">
        <is>
          <t>Bokshagonj-1</t>
        </is>
      </c>
      <c r="H754" s="10" t="n">
        <v>7655</v>
      </c>
      <c r="I754" s="11" t="inlineStr">
        <is>
          <t>Mr. Md. Al-Amin Hossain</t>
        </is>
      </c>
      <c r="J754" s="10">
        <f>IF(K754&gt;0, "Completed", "Pending")</f>
        <v/>
      </c>
      <c r="K754" s="10">
        <f>COUNTIF('Survey Responses'!F:F, F754)</f>
        <v/>
      </c>
    </row>
    <row r="755">
      <c r="A755" s="10" t="n">
        <v>754</v>
      </c>
      <c r="B755" s="11" t="inlineStr">
        <is>
          <t>Feni (GEN-A)</t>
        </is>
      </c>
      <c r="C755" s="11" t="inlineStr">
        <is>
          <t>Mr. Md. Monir Hossain</t>
        </is>
      </c>
      <c r="D755" s="11" t="inlineStr">
        <is>
          <t>Nangolkot GEN-A-1</t>
        </is>
      </c>
      <c r="E755" s="11" t="inlineStr">
        <is>
          <t>Amrita Kumar Paul</t>
        </is>
      </c>
      <c r="F755" s="10" t="n">
        <v>12220</v>
      </c>
      <c r="G755" s="11" t="inlineStr">
        <is>
          <t>Buschi-1</t>
        </is>
      </c>
      <c r="H755" s="10" t="n">
        <v>3600</v>
      </c>
      <c r="I755" s="11" t="inlineStr">
        <is>
          <t>Mr. Biplob Kumar</t>
        </is>
      </c>
      <c r="J755" s="10">
        <f>IF(K755&gt;0, "Completed", "Pending")</f>
        <v/>
      </c>
      <c r="K755" s="10">
        <f>COUNTIF('Survey Responses'!F:F, F755)</f>
        <v/>
      </c>
    </row>
    <row r="756">
      <c r="A756" s="10" t="n">
        <v>755</v>
      </c>
      <c r="B756" s="11" t="inlineStr">
        <is>
          <t>Feni (GEN-A)</t>
        </is>
      </c>
      <c r="C756" s="11" t="inlineStr">
        <is>
          <t>Mr. Md. Monir Hossain</t>
        </is>
      </c>
      <c r="D756" s="11" t="inlineStr">
        <is>
          <t>Nangolkot GEN-A-1</t>
        </is>
      </c>
      <c r="E756" s="11" t="inlineStr">
        <is>
          <t>Amrita Kumar Paul</t>
        </is>
      </c>
      <c r="F756" s="10" t="n">
        <v>10987</v>
      </c>
      <c r="G756" s="11" t="inlineStr">
        <is>
          <t>Nangolkot-1</t>
        </is>
      </c>
      <c r="H756" s="10" t="n">
        <v>982</v>
      </c>
      <c r="I756" s="11" t="inlineStr">
        <is>
          <t>Md. Shah Alam</t>
        </is>
      </c>
      <c r="J756" s="10">
        <f>IF(K756&gt;0, "Completed", "Pending")</f>
        <v/>
      </c>
      <c r="K756" s="10">
        <f>COUNTIF('Survey Responses'!F:F, F756)</f>
        <v/>
      </c>
    </row>
    <row r="757">
      <c r="A757" s="10" t="n">
        <v>756</v>
      </c>
      <c r="B757" s="11" t="inlineStr">
        <is>
          <t>Feni (GEN-A)</t>
        </is>
      </c>
      <c r="C757" s="11" t="inlineStr">
        <is>
          <t>Mr. Md. Monir Hossain</t>
        </is>
      </c>
      <c r="D757" s="11" t="inlineStr">
        <is>
          <t>Nangolkot GEN-A-1</t>
        </is>
      </c>
      <c r="E757" s="11" t="inlineStr">
        <is>
          <t>Amrita Kumar Paul</t>
        </is>
      </c>
      <c r="F757" s="10" t="n">
        <v>10990</v>
      </c>
      <c r="G757" s="11" t="inlineStr">
        <is>
          <t>Nangolkot-2</t>
        </is>
      </c>
      <c r="H757" s="10" t="n">
        <v>1600</v>
      </c>
      <c r="I757" s="11" t="inlineStr">
        <is>
          <t>Rezaul Karim-4221</t>
        </is>
      </c>
      <c r="J757" s="10">
        <f>IF(K757&gt;0, "Completed", "Pending")</f>
        <v/>
      </c>
      <c r="K757" s="10">
        <f>COUNTIF('Survey Responses'!F:F, F757)</f>
        <v/>
      </c>
    </row>
    <row r="758">
      <c r="A758" s="10" t="n">
        <v>757</v>
      </c>
      <c r="B758" s="11" t="inlineStr">
        <is>
          <t>Feni (GEN-A)</t>
        </is>
      </c>
      <c r="C758" s="11" t="inlineStr">
        <is>
          <t>Mr. Md. Monir Hossain</t>
        </is>
      </c>
      <c r="D758" s="11" t="inlineStr">
        <is>
          <t>Nangolkot GEN-A-1</t>
        </is>
      </c>
      <c r="E758" s="11" t="inlineStr">
        <is>
          <t>Amrita Kumar Paul</t>
        </is>
      </c>
      <c r="F758" s="10" t="n">
        <v>12341</v>
      </c>
      <c r="G758" s="11" t="inlineStr">
        <is>
          <t>Nangolkot-3</t>
        </is>
      </c>
      <c r="H758" s="10" t="n">
        <v>3715</v>
      </c>
      <c r="I758" s="11" t="inlineStr">
        <is>
          <t>Mr. Sirazul Islam</t>
        </is>
      </c>
      <c r="J758" s="10">
        <f>IF(K758&gt;0, "Completed", "Pending")</f>
        <v/>
      </c>
      <c r="K758" s="10">
        <f>COUNTIF('Survey Responses'!F:F, F758)</f>
        <v/>
      </c>
    </row>
    <row r="759">
      <c r="A759" s="10" t="n">
        <v>758</v>
      </c>
      <c r="B759" s="11" t="inlineStr">
        <is>
          <t>Feni (GEN-A)</t>
        </is>
      </c>
      <c r="C759" s="11" t="inlineStr">
        <is>
          <t>Mr. Md. Monir Hossain</t>
        </is>
      </c>
      <c r="D759" s="11" t="inlineStr">
        <is>
          <t>Nangolkot GEN-A-1</t>
        </is>
      </c>
      <c r="E759" s="11" t="inlineStr">
        <is>
          <t>Amrita Kumar Paul</t>
        </is>
      </c>
      <c r="F759" s="10" t="n">
        <v>13100</v>
      </c>
      <c r="G759" s="11" t="inlineStr">
        <is>
          <t>Nangolkot-4</t>
        </is>
      </c>
      <c r="H759" s="10" t="n">
        <v>2286</v>
      </c>
      <c r="I759" s="11" t="inlineStr">
        <is>
          <t>Dino Babu Roy</t>
        </is>
      </c>
      <c r="J759" s="10">
        <f>IF(K759&gt;0, "Completed", "Pending")</f>
        <v/>
      </c>
      <c r="K759" s="10">
        <f>COUNTIF('Survey Responses'!F:F, F759)</f>
        <v/>
      </c>
    </row>
    <row r="760">
      <c r="A760" s="10" t="n">
        <v>759</v>
      </c>
      <c r="B760" s="11" t="inlineStr">
        <is>
          <t>Maizdee (GEN-A)</t>
        </is>
      </c>
      <c r="C760" s="11" t="inlineStr">
        <is>
          <t>Mr. Asit Kumar Sarker</t>
        </is>
      </c>
      <c r="D760" s="11" t="inlineStr">
        <is>
          <t>Chowmuhoni GEN-A-1</t>
        </is>
      </c>
      <c r="E760" s="11" t="inlineStr">
        <is>
          <t>Mr. Md. Nurul Haque</t>
        </is>
      </c>
      <c r="F760" s="10" t="n">
        <v>10866</v>
      </c>
      <c r="G760" s="11" t="inlineStr">
        <is>
          <t>Chowmuhoni-1</t>
        </is>
      </c>
      <c r="H760" s="10" t="n">
        <v>2679</v>
      </c>
      <c r="I760" s="11" t="inlineStr">
        <is>
          <t>Rinku Kumar Mohanto</t>
        </is>
      </c>
      <c r="J760" s="10">
        <f>IF(K760&gt;0, "Completed", "Pending")</f>
        <v/>
      </c>
      <c r="K760" s="10">
        <f>COUNTIF('Survey Responses'!F:F, F760)</f>
        <v/>
      </c>
    </row>
    <row r="761">
      <c r="A761" s="10" t="n">
        <v>760</v>
      </c>
      <c r="B761" s="11" t="inlineStr">
        <is>
          <t>Maizdee (GEN-A)</t>
        </is>
      </c>
      <c r="C761" s="11" t="inlineStr">
        <is>
          <t>Mr. Asit Kumar Sarker</t>
        </is>
      </c>
      <c r="D761" s="11" t="inlineStr">
        <is>
          <t>Chowmuhoni GEN-A-1</t>
        </is>
      </c>
      <c r="E761" s="11" t="inlineStr">
        <is>
          <t>Mr. Md. Nurul Haque</t>
        </is>
      </c>
      <c r="F761" s="10" t="n">
        <v>10867</v>
      </c>
      <c r="G761" s="11" t="inlineStr">
        <is>
          <t>Chowmuhoni-2</t>
        </is>
      </c>
      <c r="H761" s="10" t="n">
        <v>4167</v>
      </c>
      <c r="I761" s="11" t="inlineStr">
        <is>
          <t>Mr. Md. Mokul Hossain</t>
        </is>
      </c>
      <c r="J761" s="10">
        <f>IF(K761&gt;0, "Completed", "Pending")</f>
        <v/>
      </c>
      <c r="K761" s="10">
        <f>COUNTIF('Survey Responses'!F:F, F761)</f>
        <v/>
      </c>
    </row>
    <row r="762">
      <c r="A762" s="10" t="n">
        <v>761</v>
      </c>
      <c r="B762" s="11" t="inlineStr">
        <is>
          <t>Maizdee (GEN-A)</t>
        </is>
      </c>
      <c r="C762" s="11" t="inlineStr">
        <is>
          <t>Mr. Asit Kumar Sarker</t>
        </is>
      </c>
      <c r="D762" s="11" t="inlineStr">
        <is>
          <t>Chowmuhoni GEN-A-1</t>
        </is>
      </c>
      <c r="E762" s="11" t="inlineStr">
        <is>
          <t>Mr. Md. Nurul Haque</t>
        </is>
      </c>
      <c r="F762" s="10" t="n">
        <v>10865</v>
      </c>
      <c r="G762" s="11" t="inlineStr">
        <is>
          <t>Chowmuhoni-3</t>
        </is>
      </c>
      <c r="H762" s="10" t="n">
        <v>1894</v>
      </c>
      <c r="I762" s="11" t="inlineStr">
        <is>
          <t>Md. Sento Pk</t>
        </is>
      </c>
      <c r="J762" s="10">
        <f>IF(K762&gt;0, "Completed", "Pending")</f>
        <v/>
      </c>
      <c r="K762" s="10">
        <f>COUNTIF('Survey Responses'!F:F, F762)</f>
        <v/>
      </c>
    </row>
    <row r="763">
      <c r="A763" s="10" t="n">
        <v>762</v>
      </c>
      <c r="B763" s="11" t="inlineStr">
        <is>
          <t>Maizdee (GEN-A)</t>
        </is>
      </c>
      <c r="C763" s="11" t="inlineStr">
        <is>
          <t>Mr. Asit Kumar Sarker</t>
        </is>
      </c>
      <c r="D763" s="11" t="inlineStr">
        <is>
          <t>Chowmuhoni GEN-A-1</t>
        </is>
      </c>
      <c r="E763" s="11" t="inlineStr">
        <is>
          <t>Mr. Md. Nurul Haque</t>
        </is>
      </c>
      <c r="F763" s="10" t="n">
        <v>10868</v>
      </c>
      <c r="G763" s="11" t="inlineStr">
        <is>
          <t>Chowmuhoni-4</t>
        </is>
      </c>
      <c r="H763" s="10" t="n">
        <v>7126</v>
      </c>
      <c r="I763" s="11" t="inlineStr">
        <is>
          <t>Mr. Md. Rakibul Islam</t>
        </is>
      </c>
      <c r="J763" s="10">
        <f>IF(K763&gt;0, "Completed", "Pending")</f>
        <v/>
      </c>
      <c r="K763" s="10">
        <f>COUNTIF('Survey Responses'!F:F, F763)</f>
        <v/>
      </c>
    </row>
    <row r="764">
      <c r="A764" s="10" t="n">
        <v>763</v>
      </c>
      <c r="B764" s="11" t="inlineStr">
        <is>
          <t>Maizdee (GEN-A)</t>
        </is>
      </c>
      <c r="C764" s="11" t="inlineStr">
        <is>
          <t>Mr. Asit Kumar Sarker</t>
        </is>
      </c>
      <c r="D764" s="11" t="inlineStr">
        <is>
          <t>Chowmuhoni GEN-A-1</t>
        </is>
      </c>
      <c r="E764" s="11" t="inlineStr">
        <is>
          <t>Mr. Md. Nurul Haque</t>
        </is>
      </c>
      <c r="F764" s="10" t="n">
        <v>10864</v>
      </c>
      <c r="G764" s="11" t="inlineStr">
        <is>
          <t>Chowmuhoni-5</t>
        </is>
      </c>
      <c r="H764" s="10" t="n">
        <v>6054</v>
      </c>
      <c r="I764" s="11" t="inlineStr">
        <is>
          <t>Md. Nafizul Islam</t>
        </is>
      </c>
      <c r="J764" s="10">
        <f>IF(K764&gt;0, "Completed", "Pending")</f>
        <v/>
      </c>
      <c r="K764" s="10">
        <f>COUNTIF('Survey Responses'!F:F, F764)</f>
        <v/>
      </c>
    </row>
    <row r="765">
      <c r="A765" s="10" t="n">
        <v>764</v>
      </c>
      <c r="B765" s="11" t="inlineStr">
        <is>
          <t>Maizdee (GEN-A)</t>
        </is>
      </c>
      <c r="C765" s="11" t="inlineStr">
        <is>
          <t>Mr. Asit Kumar Sarker</t>
        </is>
      </c>
      <c r="D765" s="11" t="inlineStr">
        <is>
          <t>Chowmuhoni GEN-A-1</t>
        </is>
      </c>
      <c r="E765" s="11" t="inlineStr">
        <is>
          <t>Mr. Md. Nurul Haque</t>
        </is>
      </c>
      <c r="F765" s="10" t="n">
        <v>12954</v>
      </c>
      <c r="G765" s="11" t="inlineStr">
        <is>
          <t>Chowmuhoni-6</t>
        </is>
      </c>
      <c r="H765" s="10" t="n">
        <v>5190</v>
      </c>
      <c r="I765" s="11" t="inlineStr">
        <is>
          <t>Mr. Md. Saiful Islam Rubel</t>
        </is>
      </c>
      <c r="J765" s="10">
        <f>IF(K765&gt;0, "Completed", "Pending")</f>
        <v/>
      </c>
      <c r="K765" s="10">
        <f>COUNTIF('Survey Responses'!F:F, F765)</f>
        <v/>
      </c>
    </row>
    <row r="766">
      <c r="A766" s="10" t="n">
        <v>765</v>
      </c>
      <c r="B766" s="11" t="inlineStr">
        <is>
          <t>Maizdee (GEN-A)</t>
        </is>
      </c>
      <c r="C766" s="11" t="inlineStr">
        <is>
          <t>Mr. Asit Kumar Sarker</t>
        </is>
      </c>
      <c r="D766" s="11" t="inlineStr">
        <is>
          <t>Chowmuhoni GEN-A-1</t>
        </is>
      </c>
      <c r="E766" s="11" t="inlineStr">
        <is>
          <t>Mr. Md. Nurul Haque</t>
        </is>
      </c>
      <c r="F766" s="10" t="n">
        <v>12297</v>
      </c>
      <c r="G766" s="11" t="inlineStr">
        <is>
          <t>Zamiderhat-1</t>
        </is>
      </c>
      <c r="H766" s="10" t="n">
        <v>4031</v>
      </c>
      <c r="I766" s="11" t="inlineStr">
        <is>
          <t>Mr. Taposh Kumar Ray</t>
        </is>
      </c>
      <c r="J766" s="10">
        <f>IF(K766&gt;0, "Completed", "Pending")</f>
        <v/>
      </c>
      <c r="K766" s="10">
        <f>COUNTIF('Survey Responses'!F:F, F766)</f>
        <v/>
      </c>
    </row>
    <row r="767">
      <c r="A767" s="10" t="n">
        <v>766</v>
      </c>
      <c r="B767" s="11" t="inlineStr">
        <is>
          <t>Maizdee (GEN-A)</t>
        </is>
      </c>
      <c r="C767" s="11" t="inlineStr">
        <is>
          <t>Mr. Asit Kumar Sarker</t>
        </is>
      </c>
      <c r="D767" s="11" t="inlineStr">
        <is>
          <t>Komol Nagar-A-1</t>
        </is>
      </c>
      <c r="E767" s="11" t="inlineStr">
        <is>
          <t>Mr. Md. Ariful Islam</t>
        </is>
      </c>
      <c r="F767" s="10" t="n">
        <v>10882</v>
      </c>
      <c r="G767" s="11" t="inlineStr">
        <is>
          <t>Komol Nagar-1</t>
        </is>
      </c>
      <c r="H767" s="10" t="n">
        <v>1103</v>
      </c>
      <c r="I767" s="11" t="inlineStr">
        <is>
          <t>Md. Jahanggir Alam</t>
        </is>
      </c>
      <c r="J767" s="10">
        <f>IF(K767&gt;0, "Completed", "Pending")</f>
        <v/>
      </c>
      <c r="K767" s="10">
        <f>COUNTIF('Survey Responses'!F:F, F767)</f>
        <v/>
      </c>
    </row>
    <row r="768">
      <c r="A768" s="10" t="n">
        <v>767</v>
      </c>
      <c r="B768" s="11" t="inlineStr">
        <is>
          <t>Maizdee (GEN-A)</t>
        </is>
      </c>
      <c r="C768" s="11" t="inlineStr">
        <is>
          <t>Mr. Asit Kumar Sarker</t>
        </is>
      </c>
      <c r="D768" s="11" t="inlineStr">
        <is>
          <t>Komol Nagar-A-1</t>
        </is>
      </c>
      <c r="E768" s="11" t="inlineStr">
        <is>
          <t>Mr. Md. Ariful Islam</t>
        </is>
      </c>
      <c r="F768" s="10" t="n">
        <v>12231</v>
      </c>
      <c r="G768" s="11" t="inlineStr">
        <is>
          <t>Komol Nagar-2</t>
        </is>
      </c>
      <c r="H768" s="10" t="n">
        <v>3594</v>
      </c>
      <c r="I768" s="11" t="inlineStr">
        <is>
          <t>Mr. Md. Robiul Sorkar</t>
        </is>
      </c>
      <c r="J768" s="10">
        <f>IF(K768&gt;0, "Completed", "Pending")</f>
        <v/>
      </c>
      <c r="K768" s="10">
        <f>COUNTIF('Survey Responses'!F:F, F768)</f>
        <v/>
      </c>
    </row>
    <row r="769">
      <c r="A769" s="10" t="n">
        <v>768</v>
      </c>
      <c r="B769" s="11" t="inlineStr">
        <is>
          <t>Maizdee (GEN-A)</t>
        </is>
      </c>
      <c r="C769" s="11" t="inlineStr">
        <is>
          <t>Mr. Asit Kumar Sarker</t>
        </is>
      </c>
      <c r="D769" s="11" t="inlineStr">
        <is>
          <t>Komol Nagar-A-1</t>
        </is>
      </c>
      <c r="E769" s="11" t="inlineStr">
        <is>
          <t>Mr. Md. Ariful Islam</t>
        </is>
      </c>
      <c r="F769" s="10" t="n">
        <v>13620</v>
      </c>
      <c r="G769" s="11" t="inlineStr">
        <is>
          <t>Komol Nagar-3</t>
        </is>
      </c>
      <c r="H769" s="10" t="n">
        <v>7229</v>
      </c>
      <c r="I769" s="11" t="inlineStr">
        <is>
          <t>Mr. Ripon Kumar</t>
        </is>
      </c>
      <c r="J769" s="10">
        <f>IF(K769&gt;0, "Completed", "Pending")</f>
        <v/>
      </c>
      <c r="K769" s="10">
        <f>COUNTIF('Survey Responses'!F:F, F769)</f>
        <v/>
      </c>
    </row>
    <row r="770">
      <c r="A770" s="10" t="n">
        <v>769</v>
      </c>
      <c r="B770" s="11" t="inlineStr">
        <is>
          <t>Maizdee (GEN-A)</t>
        </is>
      </c>
      <c r="C770" s="11" t="inlineStr">
        <is>
          <t>Mr. Asit Kumar Sarker</t>
        </is>
      </c>
      <c r="D770" s="11" t="inlineStr">
        <is>
          <t>Komol Nagar-A-1</t>
        </is>
      </c>
      <c r="E770" s="11" t="inlineStr">
        <is>
          <t>Mr. Md. Ariful Islam</t>
        </is>
      </c>
      <c r="F770" s="10" t="n">
        <v>10856</v>
      </c>
      <c r="G770" s="11" t="inlineStr">
        <is>
          <t>Ramgati-1</t>
        </is>
      </c>
      <c r="H770" s="10" t="n">
        <v>3196</v>
      </c>
      <c r="I770" s="11" t="inlineStr">
        <is>
          <t>Kamal Kumar Roy</t>
        </is>
      </c>
      <c r="J770" s="10">
        <f>IF(K770&gt;0, "Completed", "Pending")</f>
        <v/>
      </c>
      <c r="K770" s="10">
        <f>COUNTIF('Survey Responses'!F:F, F770)</f>
        <v/>
      </c>
    </row>
    <row r="771">
      <c r="A771" s="10" t="n">
        <v>770</v>
      </c>
      <c r="B771" s="11" t="inlineStr">
        <is>
          <t>Maizdee (GEN-A)</t>
        </is>
      </c>
      <c r="C771" s="11" t="inlineStr">
        <is>
          <t>Mr. Asit Kumar Sarker</t>
        </is>
      </c>
      <c r="D771" s="11" t="inlineStr">
        <is>
          <t>Komol Nagar-A-1</t>
        </is>
      </c>
      <c r="E771" s="11" t="inlineStr">
        <is>
          <t>Mr. Md. Ariful Islam</t>
        </is>
      </c>
      <c r="F771" s="10" t="n">
        <v>12979</v>
      </c>
      <c r="G771" s="11" t="inlineStr">
        <is>
          <t>Ramgati-2</t>
        </is>
      </c>
      <c r="H771" s="10" t="n">
        <v>5294</v>
      </c>
      <c r="I771" s="11" t="inlineStr">
        <is>
          <t>Mr. Md. Shahidul Islam</t>
        </is>
      </c>
      <c r="J771" s="10">
        <f>IF(K771&gt;0, "Completed", "Pending")</f>
        <v/>
      </c>
      <c r="K771" s="10">
        <f>COUNTIF('Survey Responses'!F:F, F771)</f>
        <v/>
      </c>
    </row>
    <row r="772">
      <c r="A772" s="10" t="n">
        <v>771</v>
      </c>
      <c r="B772" s="11" t="inlineStr">
        <is>
          <t>Maizdee (GEN-A)</t>
        </is>
      </c>
      <c r="C772" s="11" t="inlineStr">
        <is>
          <t>Mr. Asit Kumar Sarker</t>
        </is>
      </c>
      <c r="D772" s="11" t="inlineStr">
        <is>
          <t>Komol Nagar-A-1</t>
        </is>
      </c>
      <c r="E772" s="11" t="inlineStr">
        <is>
          <t>Mr. Md. Ariful Islam</t>
        </is>
      </c>
      <c r="F772" s="10" t="n">
        <v>14138</v>
      </c>
      <c r="G772" s="11" t="inlineStr">
        <is>
          <t>Ramgati-3</t>
        </is>
      </c>
      <c r="H772" s="10" t="n">
        <v>7464</v>
      </c>
      <c r="I772" s="11" t="inlineStr">
        <is>
          <t>Mr. Md. Awal Hossain</t>
        </is>
      </c>
      <c r="J772" s="10">
        <f>IF(K772&gt;0, "Completed", "Pending")</f>
        <v/>
      </c>
      <c r="K772" s="10">
        <f>COUNTIF('Survey Responses'!F:F, F772)</f>
        <v/>
      </c>
    </row>
    <row r="773">
      <c r="A773" s="10" t="n">
        <v>772</v>
      </c>
      <c r="B773" s="11" t="inlineStr">
        <is>
          <t>Maizdee (GEN-A)</t>
        </is>
      </c>
      <c r="C773" s="11" t="inlineStr">
        <is>
          <t>Mr. Asit Kumar Sarker</t>
        </is>
      </c>
      <c r="D773" s="11" t="inlineStr">
        <is>
          <t>Komol Nagar-A-1</t>
        </is>
      </c>
      <c r="E773" s="11" t="inlineStr">
        <is>
          <t>Mr. Md. Ariful Islam</t>
        </is>
      </c>
      <c r="F773" s="10" t="n">
        <v>13133</v>
      </c>
      <c r="G773" s="11" t="inlineStr">
        <is>
          <t>Udoy Sadhur Hat</t>
        </is>
      </c>
      <c r="H773" s="10" t="n">
        <v>8843</v>
      </c>
      <c r="I773" s="11" t="inlineStr">
        <is>
          <t>Mr. Md. Mehedi Hasan Shahin</t>
        </is>
      </c>
      <c r="J773" s="10">
        <f>IF(K773&gt;0, "Completed", "Pending")</f>
        <v/>
      </c>
      <c r="K773" s="10">
        <f>COUNTIF('Survey Responses'!F:F, F773)</f>
        <v/>
      </c>
    </row>
    <row r="774">
      <c r="A774" s="10" t="n">
        <v>773</v>
      </c>
      <c r="B774" s="11" t="inlineStr">
        <is>
          <t>Maizdee (GEN-A)</t>
        </is>
      </c>
      <c r="C774" s="11" t="inlineStr">
        <is>
          <t>Mr. Asit Kumar Sarker</t>
        </is>
      </c>
      <c r="D774" s="11" t="inlineStr">
        <is>
          <t>Laxmipur GEN-A-1</t>
        </is>
      </c>
      <c r="E774" s="11" t="inlineStr">
        <is>
          <t>Mr. Md. Shamim Hossain</t>
        </is>
      </c>
      <c r="F774" s="10" t="n">
        <v>14075</v>
      </c>
      <c r="G774" s="11" t="inlineStr">
        <is>
          <t>Dalal Bazar-1</t>
        </is>
      </c>
      <c r="H774" s="10" t="n">
        <v>2236</v>
      </c>
      <c r="I774" s="11" t="inlineStr">
        <is>
          <t>Md. Farhad Hossain</t>
        </is>
      </c>
      <c r="J774" s="10">
        <f>IF(K774&gt;0, "Completed", "Pending")</f>
        <v/>
      </c>
      <c r="K774" s="10">
        <f>COUNTIF('Survey Responses'!F:F, F774)</f>
        <v/>
      </c>
    </row>
    <row r="775">
      <c r="A775" s="10" t="n">
        <v>774</v>
      </c>
      <c r="B775" s="11" t="inlineStr">
        <is>
          <t>Maizdee (GEN-A)</t>
        </is>
      </c>
      <c r="C775" s="11" t="inlineStr">
        <is>
          <t>Mr. Asit Kumar Sarker</t>
        </is>
      </c>
      <c r="D775" s="11" t="inlineStr">
        <is>
          <t>Laxmipur GEN-A-1</t>
        </is>
      </c>
      <c r="E775" s="11" t="inlineStr">
        <is>
          <t>Mr. Md. Shamim Hossain</t>
        </is>
      </c>
      <c r="F775" s="10" t="n">
        <v>10884</v>
      </c>
      <c r="G775" s="11" t="inlineStr">
        <is>
          <t>Laxmipur-1</t>
        </is>
      </c>
      <c r="H775" s="10" t="n">
        <v>5974</v>
      </c>
      <c r="I775" s="11" t="inlineStr">
        <is>
          <t>Md. Mithun Ali</t>
        </is>
      </c>
      <c r="J775" s="10">
        <f>IF(K775&gt;0, "Completed", "Pending")</f>
        <v/>
      </c>
      <c r="K775" s="10">
        <f>COUNTIF('Survey Responses'!F:F, F775)</f>
        <v/>
      </c>
    </row>
    <row r="776">
      <c r="A776" s="10" t="n">
        <v>775</v>
      </c>
      <c r="B776" s="11" t="inlineStr">
        <is>
          <t>Maizdee (GEN-A)</t>
        </is>
      </c>
      <c r="C776" s="11" t="inlineStr">
        <is>
          <t>Mr. Asit Kumar Sarker</t>
        </is>
      </c>
      <c r="D776" s="11" t="inlineStr">
        <is>
          <t>Laxmipur GEN-A-1</t>
        </is>
      </c>
      <c r="E776" s="11" t="inlineStr">
        <is>
          <t>Mr. Md. Shamim Hossain</t>
        </is>
      </c>
      <c r="F776" s="10" t="n">
        <v>10881</v>
      </c>
      <c r="G776" s="11" t="inlineStr">
        <is>
          <t>Laxmipur-2</t>
        </is>
      </c>
      <c r="H776" s="10" t="n">
        <v>3432</v>
      </c>
      <c r="I776" s="11" t="inlineStr">
        <is>
          <t>Mr. Md. Azizur Rahman</t>
        </is>
      </c>
      <c r="J776" s="10">
        <f>IF(K776&gt;0, "Completed", "Pending")</f>
        <v/>
      </c>
      <c r="K776" s="10">
        <f>COUNTIF('Survey Responses'!F:F, F776)</f>
        <v/>
      </c>
    </row>
    <row r="777">
      <c r="A777" s="10" t="n">
        <v>776</v>
      </c>
      <c r="B777" s="11" t="inlineStr">
        <is>
          <t>Maizdee (GEN-A)</t>
        </is>
      </c>
      <c r="C777" s="11" t="inlineStr">
        <is>
          <t>Mr. Asit Kumar Sarker</t>
        </is>
      </c>
      <c r="D777" s="11" t="inlineStr">
        <is>
          <t>Laxmipur GEN-A-1</t>
        </is>
      </c>
      <c r="E777" s="11" t="inlineStr">
        <is>
          <t>Mr. Md. Shamim Hossain</t>
        </is>
      </c>
      <c r="F777" s="10" t="n">
        <v>10883</v>
      </c>
      <c r="G777" s="11" t="inlineStr">
        <is>
          <t>Laxmipur-3</t>
        </is>
      </c>
      <c r="H777" s="10" t="n">
        <v>3961</v>
      </c>
      <c r="I777" s="11" t="inlineStr">
        <is>
          <t>Mr. Alamin</t>
        </is>
      </c>
      <c r="J777" s="10">
        <f>IF(K777&gt;0, "Completed", "Pending")</f>
        <v/>
      </c>
      <c r="K777" s="10">
        <f>COUNTIF('Survey Responses'!F:F, F777)</f>
        <v/>
      </c>
    </row>
    <row r="778">
      <c r="A778" s="10" t="n">
        <v>777</v>
      </c>
      <c r="B778" s="11" t="inlineStr">
        <is>
          <t>Maizdee (GEN-A)</t>
        </is>
      </c>
      <c r="C778" s="11" t="inlineStr">
        <is>
          <t>Mr. Asit Kumar Sarker</t>
        </is>
      </c>
      <c r="D778" s="11" t="inlineStr">
        <is>
          <t>Laxmipur GEN-A-1</t>
        </is>
      </c>
      <c r="E778" s="11" t="inlineStr">
        <is>
          <t>Mr. Md. Shamim Hossain</t>
        </is>
      </c>
      <c r="F778" s="10" t="n">
        <v>10886</v>
      </c>
      <c r="G778" s="11" t="inlineStr">
        <is>
          <t>Laxmipur-4</t>
        </is>
      </c>
      <c r="H778" s="10" t="n">
        <v>5070</v>
      </c>
      <c r="I778" s="11" t="inlineStr">
        <is>
          <t>Mr. Md. Nur Islam</t>
        </is>
      </c>
      <c r="J778" s="10">
        <f>IF(K778&gt;0, "Completed", "Pending")</f>
        <v/>
      </c>
      <c r="K778" s="10">
        <f>COUNTIF('Survey Responses'!F:F, F778)</f>
        <v/>
      </c>
    </row>
    <row r="779">
      <c r="A779" s="10" t="n">
        <v>778</v>
      </c>
      <c r="B779" s="11" t="inlineStr">
        <is>
          <t>Maizdee (GEN-A)</t>
        </is>
      </c>
      <c r="C779" s="11" t="inlineStr">
        <is>
          <t>Mr. Asit Kumar Sarker</t>
        </is>
      </c>
      <c r="D779" s="11" t="inlineStr">
        <is>
          <t>Laxmipur GEN-A-1</t>
        </is>
      </c>
      <c r="E779" s="11" t="inlineStr">
        <is>
          <t>Mr. Md. Shamim Hossain</t>
        </is>
      </c>
      <c r="F779" s="10" t="n">
        <v>10887</v>
      </c>
      <c r="G779" s="11" t="inlineStr">
        <is>
          <t>Laxmipur-5</t>
        </is>
      </c>
      <c r="H779" s="10" t="n">
        <v>2133</v>
      </c>
      <c r="I779" s="11" t="inlineStr">
        <is>
          <t>Hasanul Banna</t>
        </is>
      </c>
      <c r="J779" s="10">
        <f>IF(K779&gt;0, "Completed", "Pending")</f>
        <v/>
      </c>
      <c r="K779" s="10">
        <f>COUNTIF('Survey Responses'!F:F, F779)</f>
        <v/>
      </c>
    </row>
    <row r="780">
      <c r="A780" s="10" t="n">
        <v>779</v>
      </c>
      <c r="B780" s="11" t="inlineStr">
        <is>
          <t>Maizdee (GEN-A)</t>
        </is>
      </c>
      <c r="C780" s="11" t="inlineStr">
        <is>
          <t>Mr. Asit Kumar Sarker</t>
        </is>
      </c>
      <c r="D780" s="11" t="inlineStr">
        <is>
          <t>Laxmipur GEN-A-1</t>
        </is>
      </c>
      <c r="E780" s="11" t="inlineStr">
        <is>
          <t>Mr. Md. Shamim Hossain</t>
        </is>
      </c>
      <c r="F780" s="10" t="n">
        <v>10885</v>
      </c>
      <c r="G780" s="11" t="inlineStr">
        <is>
          <t>Mandari-1</t>
        </is>
      </c>
      <c r="H780" s="10" t="n">
        <v>1525</v>
      </c>
      <c r="I780" s="11" t="inlineStr">
        <is>
          <t>Jonayet Hossain Noyen</t>
        </is>
      </c>
      <c r="J780" s="10">
        <f>IF(K780&gt;0, "Completed", "Pending")</f>
        <v/>
      </c>
      <c r="K780" s="10">
        <f>COUNTIF('Survey Responses'!F:F, F780)</f>
        <v/>
      </c>
    </row>
    <row r="781">
      <c r="A781" s="10" t="n">
        <v>780</v>
      </c>
      <c r="B781" s="11" t="inlineStr">
        <is>
          <t>Maizdee (GEN-A)</t>
        </is>
      </c>
      <c r="C781" s="11" t="inlineStr">
        <is>
          <t>Mr. Asit Kumar Sarker</t>
        </is>
      </c>
      <c r="D781" s="11" t="inlineStr">
        <is>
          <t>Laxmipur GEN-A-1</t>
        </is>
      </c>
      <c r="E781" s="11" t="inlineStr">
        <is>
          <t>Mr. Md. Shamim Hossain</t>
        </is>
      </c>
      <c r="F781" s="10" t="n">
        <v>14561</v>
      </c>
      <c r="G781" s="11" t="inlineStr">
        <is>
          <t>Mandari-2</t>
        </is>
      </c>
      <c r="H781" s="10" t="n">
        <v>7649</v>
      </c>
      <c r="I781" s="11" t="inlineStr">
        <is>
          <t>Mr. Md. Safiullah</t>
        </is>
      </c>
      <c r="J781" s="10">
        <f>IF(K781&gt;0, "Completed", "Pending")</f>
        <v/>
      </c>
      <c r="K781" s="10">
        <f>COUNTIF('Survey Responses'!F:F, F781)</f>
        <v/>
      </c>
    </row>
    <row r="782">
      <c r="A782" s="10" t="n">
        <v>781</v>
      </c>
      <c r="B782" s="11" t="inlineStr">
        <is>
          <t>Maizdee (GEN-A)</t>
        </is>
      </c>
      <c r="C782" s="11" t="inlineStr">
        <is>
          <t>Mr. Asit Kumar Sarker</t>
        </is>
      </c>
      <c r="D782" s="11" t="inlineStr">
        <is>
          <t>Maizdee GEN-A-1</t>
        </is>
      </c>
      <c r="E782" s="11" t="inlineStr">
        <is>
          <t>Md. Rakibul Islam</t>
        </is>
      </c>
      <c r="F782" s="10" t="n">
        <v>10869</v>
      </c>
      <c r="G782" s="11" t="inlineStr">
        <is>
          <t>Kobirhat-1</t>
        </is>
      </c>
      <c r="H782" s="10" t="n">
        <v>5142</v>
      </c>
      <c r="I782" s="11" t="inlineStr">
        <is>
          <t>Mr. Md. Jamil Hossain</t>
        </is>
      </c>
      <c r="J782" s="10">
        <f>IF(K782&gt;0, "Completed", "Pending")</f>
        <v/>
      </c>
      <c r="K782" s="10">
        <f>COUNTIF('Survey Responses'!F:F, F782)</f>
        <v/>
      </c>
    </row>
    <row r="783">
      <c r="A783" s="10" t="n">
        <v>782</v>
      </c>
      <c r="B783" s="11" t="inlineStr">
        <is>
          <t>Maizdee (GEN-A)</t>
        </is>
      </c>
      <c r="C783" s="11" t="inlineStr">
        <is>
          <t>Mr. Asit Kumar Sarker</t>
        </is>
      </c>
      <c r="D783" s="11" t="inlineStr">
        <is>
          <t>Maizdee GEN-A-1</t>
        </is>
      </c>
      <c r="E783" s="11" t="inlineStr">
        <is>
          <t>Md. Rakibul Islam</t>
        </is>
      </c>
      <c r="F783" s="10" t="n">
        <v>12538</v>
      </c>
      <c r="G783" s="11" t="inlineStr">
        <is>
          <t>Kobirhat-2</t>
        </is>
      </c>
      <c r="H783" s="10" t="n">
        <v>1029</v>
      </c>
      <c r="I783" s="11" t="inlineStr">
        <is>
          <t>Ramdep Kumer</t>
        </is>
      </c>
      <c r="J783" s="10">
        <f>IF(K783&gt;0, "Completed", "Pending")</f>
        <v/>
      </c>
      <c r="K783" s="10">
        <f>COUNTIF('Survey Responses'!F:F, F783)</f>
        <v/>
      </c>
    </row>
    <row r="784">
      <c r="A784" s="10" t="n">
        <v>783</v>
      </c>
      <c r="B784" s="11" t="inlineStr">
        <is>
          <t>Maizdee (GEN-A)</t>
        </is>
      </c>
      <c r="C784" s="11" t="inlineStr">
        <is>
          <t>Mr. Asit Kumar Sarker</t>
        </is>
      </c>
      <c r="D784" s="11" t="inlineStr">
        <is>
          <t>Maizdee GEN-A-1</t>
        </is>
      </c>
      <c r="E784" s="11" t="inlineStr">
        <is>
          <t>Md. Rakibul Islam</t>
        </is>
      </c>
      <c r="F784" s="10" t="n">
        <v>11819</v>
      </c>
      <c r="G784" s="11" t="inlineStr">
        <is>
          <t>Maizdee (General Hospital)</t>
        </is>
      </c>
      <c r="H784" s="10" t="n">
        <v>3294</v>
      </c>
      <c r="I784" s="11" t="inlineStr">
        <is>
          <t>Md. Abdullah</t>
        </is>
      </c>
      <c r="J784" s="10">
        <f>IF(K784&gt;0, "Completed", "Pending")</f>
        <v/>
      </c>
      <c r="K784" s="10">
        <f>COUNTIF('Survey Responses'!F:F, F784)</f>
        <v/>
      </c>
    </row>
    <row r="785">
      <c r="A785" s="10" t="n">
        <v>784</v>
      </c>
      <c r="B785" s="11" t="inlineStr">
        <is>
          <t>Maizdee (GEN-A)</t>
        </is>
      </c>
      <c r="C785" s="11" t="inlineStr">
        <is>
          <t>Mr. Asit Kumar Sarker</t>
        </is>
      </c>
      <c r="D785" s="11" t="inlineStr">
        <is>
          <t>Maizdee GEN-A-1</t>
        </is>
      </c>
      <c r="E785" s="11" t="inlineStr">
        <is>
          <t>Md. Rakibul Islam</t>
        </is>
      </c>
      <c r="F785" s="10" t="n">
        <v>14650</v>
      </c>
      <c r="G785" s="11" t="inlineStr">
        <is>
          <t>Maizdee (Ibn Sina)</t>
        </is>
      </c>
      <c r="H785" s="10" t="n">
        <v>8311</v>
      </c>
      <c r="I785" s="11" t="inlineStr">
        <is>
          <t>Mr. Md. Sohel Rana</t>
        </is>
      </c>
      <c r="J785" s="10">
        <f>IF(K785&gt;0, "Completed", "Pending")</f>
        <v/>
      </c>
      <c r="K785" s="10">
        <f>COUNTIF('Survey Responses'!F:F, F785)</f>
        <v/>
      </c>
    </row>
    <row r="786">
      <c r="A786" s="10" t="n">
        <v>785</v>
      </c>
      <c r="B786" s="11" t="inlineStr">
        <is>
          <t>Maizdee (GEN-A)</t>
        </is>
      </c>
      <c r="C786" s="11" t="inlineStr">
        <is>
          <t>Mr. Asit Kumar Sarker</t>
        </is>
      </c>
      <c r="D786" s="11" t="inlineStr">
        <is>
          <t>Maizdee GEN-A-1</t>
        </is>
      </c>
      <c r="E786" s="11" t="inlineStr">
        <is>
          <t>Md. Rakibul Islam</t>
        </is>
      </c>
      <c r="F786" s="10" t="n">
        <v>10851</v>
      </c>
      <c r="G786" s="11" t="inlineStr">
        <is>
          <t>Maizdee (Ma O Shishu Hosp.)</t>
        </is>
      </c>
      <c r="H786" s="10" t="n">
        <v>3022</v>
      </c>
      <c r="I786" s="11" t="inlineStr">
        <is>
          <t>Md. Meraj Ali</t>
        </is>
      </c>
      <c r="J786" s="10">
        <f>IF(K786&gt;0, "Completed", "Pending")</f>
        <v/>
      </c>
      <c r="K786" s="10">
        <f>COUNTIF('Survey Responses'!F:F, F786)</f>
        <v/>
      </c>
    </row>
    <row r="787">
      <c r="A787" s="10" t="n">
        <v>786</v>
      </c>
      <c r="B787" s="11" t="inlineStr">
        <is>
          <t>Maizdee (GEN-A)</t>
        </is>
      </c>
      <c r="C787" s="11" t="inlineStr">
        <is>
          <t>Mr. Asit Kumar Sarker</t>
        </is>
      </c>
      <c r="D787" s="11" t="inlineStr">
        <is>
          <t>Maizdee GEN-A-1</t>
        </is>
      </c>
      <c r="E787" s="11" t="inlineStr">
        <is>
          <t>Md. Rakibul Islam</t>
        </is>
      </c>
      <c r="F787" s="10" t="n">
        <v>14873</v>
      </c>
      <c r="G787" s="11" t="inlineStr">
        <is>
          <t>Maizdee (Popular)</t>
        </is>
      </c>
      <c r="H787" s="10" t="n">
        <v>8995</v>
      </c>
      <c r="I787" s="11" t="inlineStr">
        <is>
          <t>Mr. Md. Habibur Rahman</t>
        </is>
      </c>
      <c r="J787" s="10">
        <f>IF(K787&gt;0, "Completed", "Pending")</f>
        <v/>
      </c>
      <c r="K787" s="10">
        <f>COUNTIF('Survey Responses'!F:F, F787)</f>
        <v/>
      </c>
    </row>
    <row r="788">
      <c r="A788" s="10" t="n">
        <v>787</v>
      </c>
      <c r="B788" s="11" t="inlineStr">
        <is>
          <t>Maizdee (GEN-A)</t>
        </is>
      </c>
      <c r="C788" s="11" t="inlineStr">
        <is>
          <t>Mr. Asit Kumar Sarker</t>
        </is>
      </c>
      <c r="D788" s="11" t="inlineStr">
        <is>
          <t>Maizdee GEN-A-1</t>
        </is>
      </c>
      <c r="E788" s="11" t="inlineStr">
        <is>
          <t>Md. Rakibul Islam</t>
        </is>
      </c>
      <c r="F788" s="10" t="n">
        <v>10861</v>
      </c>
      <c r="G788" s="11" t="inlineStr">
        <is>
          <t>Maizdee Bazar</t>
        </is>
      </c>
      <c r="H788" s="10" t="n">
        <v>5737</v>
      </c>
      <c r="I788" s="11" t="inlineStr">
        <is>
          <t>Mr. Md. Sojib Ahmad</t>
        </is>
      </c>
      <c r="J788" s="10">
        <f>IF(K788&gt;0, "Completed", "Pending")</f>
        <v/>
      </c>
      <c r="K788" s="10">
        <f>COUNTIF('Survey Responses'!F:F, F788)</f>
        <v/>
      </c>
    </row>
    <row r="789">
      <c r="A789" s="10" t="n">
        <v>788</v>
      </c>
      <c r="B789" s="11" t="inlineStr">
        <is>
          <t>Maizdee (GEN-A)</t>
        </is>
      </c>
      <c r="C789" s="11" t="inlineStr">
        <is>
          <t>Mr. Asit Kumar Sarker</t>
        </is>
      </c>
      <c r="D789" s="11" t="inlineStr">
        <is>
          <t>Maizdee GEN-A-1</t>
        </is>
      </c>
      <c r="E789" s="11" t="inlineStr">
        <is>
          <t>Md. Rakibul Islam</t>
        </is>
      </c>
      <c r="F789" s="10" t="n">
        <v>10852</v>
      </c>
      <c r="G789" s="11" t="inlineStr">
        <is>
          <t>Maizdee-Niramoy Hosp</t>
        </is>
      </c>
      <c r="H789" s="10" t="n">
        <v>3089</v>
      </c>
      <c r="I789" s="11" t="inlineStr">
        <is>
          <t>Md. Tajul Rana</t>
        </is>
      </c>
      <c r="J789" s="10">
        <f>IF(K789&gt;0, "Completed", "Pending")</f>
        <v/>
      </c>
      <c r="K789" s="10">
        <f>COUNTIF('Survey Responses'!F:F, F789)</f>
        <v/>
      </c>
    </row>
    <row r="790">
      <c r="A790" s="10" t="n">
        <v>789</v>
      </c>
      <c r="B790" s="11" t="inlineStr">
        <is>
          <t>Maizdee (GEN-A)</t>
        </is>
      </c>
      <c r="C790" s="11" t="inlineStr">
        <is>
          <t>Mr. Asit Kumar Sarker</t>
        </is>
      </c>
      <c r="D790" s="11" t="inlineStr">
        <is>
          <t>Maizdee GEN-A-1</t>
        </is>
      </c>
      <c r="E790" s="11" t="inlineStr">
        <is>
          <t>Md. Rakibul Islam</t>
        </is>
      </c>
      <c r="F790" s="10" t="n">
        <v>12232</v>
      </c>
      <c r="G790" s="11" t="inlineStr">
        <is>
          <t>Sonapur-1</t>
        </is>
      </c>
      <c r="H790" s="10" t="n">
        <v>5141</v>
      </c>
      <c r="I790" s="11" t="inlineStr">
        <is>
          <t>Mr. Andru Nayan Barman</t>
        </is>
      </c>
      <c r="J790" s="10">
        <f>IF(K790&gt;0, "Completed", "Pending")</f>
        <v/>
      </c>
      <c r="K790" s="10">
        <f>COUNTIF('Survey Responses'!F:F, F790)</f>
        <v/>
      </c>
    </row>
    <row r="791">
      <c r="A791" s="10" t="n">
        <v>790</v>
      </c>
      <c r="B791" s="11" t="inlineStr">
        <is>
          <t>Maizdee (GEN-A)</t>
        </is>
      </c>
      <c r="C791" s="11" t="inlineStr">
        <is>
          <t>Mr. Asit Kumar Sarker</t>
        </is>
      </c>
      <c r="D791" s="11" t="inlineStr">
        <is>
          <t>Maizdee GEN-A-1</t>
        </is>
      </c>
      <c r="E791" s="11" t="inlineStr">
        <is>
          <t>Md. Rakibul Islam</t>
        </is>
      </c>
      <c r="F791" s="10" t="n">
        <v>12955</v>
      </c>
      <c r="G791" s="11" t="inlineStr">
        <is>
          <t>Sonapur-2</t>
        </is>
      </c>
      <c r="H791" s="10" t="n">
        <v>5191</v>
      </c>
      <c r="I791" s="11" t="inlineStr">
        <is>
          <t>Mr. Md. Abdul Hai</t>
        </is>
      </c>
      <c r="J791" s="10">
        <f>IF(K791&gt;0, "Completed", "Pending")</f>
        <v/>
      </c>
      <c r="K791" s="10">
        <f>COUNTIF('Survey Responses'!F:F, F791)</f>
        <v/>
      </c>
    </row>
    <row r="792">
      <c r="A792" s="10" t="n">
        <v>791</v>
      </c>
      <c r="B792" s="11" t="inlineStr">
        <is>
          <t>Maizdee (GEN-A)</t>
        </is>
      </c>
      <c r="C792" s="11" t="inlineStr">
        <is>
          <t>Mr. Asit Kumar Sarker</t>
        </is>
      </c>
      <c r="D792" s="11" t="inlineStr">
        <is>
          <t>Maizdee GEN-A-2</t>
        </is>
      </c>
      <c r="E792" s="11" t="inlineStr">
        <is>
          <t>Mr. Md. Ismail Hossain</t>
        </is>
      </c>
      <c r="F792" s="10" t="n">
        <v>10874</v>
      </c>
      <c r="G792" s="11" t="inlineStr">
        <is>
          <t>Chondrogonj-1</t>
        </is>
      </c>
      <c r="H792" s="10" t="n">
        <v>7463</v>
      </c>
      <c r="I792" s="11" t="inlineStr">
        <is>
          <t>Mr. Md. Milon Hossain</t>
        </is>
      </c>
      <c r="J792" s="10">
        <f>IF(K792&gt;0, "Completed", "Pending")</f>
        <v/>
      </c>
      <c r="K792" s="10">
        <f>COUNTIF('Survey Responses'!F:F, F792)</f>
        <v/>
      </c>
    </row>
    <row r="793">
      <c r="A793" s="10" t="n">
        <v>792</v>
      </c>
      <c r="B793" s="11" t="inlineStr">
        <is>
          <t>Maizdee (GEN-A)</t>
        </is>
      </c>
      <c r="C793" s="11" t="inlineStr">
        <is>
          <t>Mr. Asit Kumar Sarker</t>
        </is>
      </c>
      <c r="D793" s="11" t="inlineStr">
        <is>
          <t>Maizdee GEN-A-2</t>
        </is>
      </c>
      <c r="E793" s="11" t="inlineStr">
        <is>
          <t>Mr. Md. Ismail Hossain</t>
        </is>
      </c>
      <c r="F793" s="10" t="n">
        <v>10875</v>
      </c>
      <c r="G793" s="11" t="inlineStr">
        <is>
          <t>Chondrogonj-2</t>
        </is>
      </c>
      <c r="H793" s="10" t="n">
        <v>6394</v>
      </c>
      <c r="I793" s="11" t="inlineStr">
        <is>
          <t>Mr. Md. Jane Alam</t>
        </is>
      </c>
      <c r="J793" s="10">
        <f>IF(K793&gt;0, "Completed", "Pending")</f>
        <v/>
      </c>
      <c r="K793" s="10">
        <f>COUNTIF('Survey Responses'!F:F, F793)</f>
        <v/>
      </c>
    </row>
    <row r="794">
      <c r="A794" s="10" t="n">
        <v>793</v>
      </c>
      <c r="B794" s="11" t="inlineStr">
        <is>
          <t>Maizdee (GEN-A)</t>
        </is>
      </c>
      <c r="C794" s="11" t="inlineStr">
        <is>
          <t>Mr. Asit Kumar Sarker</t>
        </is>
      </c>
      <c r="D794" s="11" t="inlineStr">
        <is>
          <t>Maizdee GEN-A-2</t>
        </is>
      </c>
      <c r="E794" s="11" t="inlineStr">
        <is>
          <t>Mr. Md. Ismail Hossain</t>
        </is>
      </c>
      <c r="F794" s="10" t="n">
        <v>10853</v>
      </c>
      <c r="G794" s="11" t="inlineStr">
        <is>
          <t>Maizdee (Central Hospital)</t>
        </is>
      </c>
      <c r="H794" s="10" t="n">
        <v>8731</v>
      </c>
      <c r="I794" s="11" t="inlineStr">
        <is>
          <t>Mr. Md. Shariful Hasan Shohag</t>
        </is>
      </c>
      <c r="J794" s="10">
        <f>IF(K794&gt;0, "Completed", "Pending")</f>
        <v/>
      </c>
      <c r="K794" s="10">
        <f>COUNTIF('Survey Responses'!F:F, F794)</f>
        <v/>
      </c>
    </row>
    <row r="795">
      <c r="A795" s="10" t="n">
        <v>794</v>
      </c>
      <c r="B795" s="11" t="inlineStr">
        <is>
          <t>Maizdee (GEN-A)</t>
        </is>
      </c>
      <c r="C795" s="11" t="inlineStr">
        <is>
          <t>Mr. Asit Kumar Sarker</t>
        </is>
      </c>
      <c r="D795" s="11" t="inlineStr">
        <is>
          <t>Maizdee GEN-A-2</t>
        </is>
      </c>
      <c r="E795" s="11" t="inlineStr">
        <is>
          <t>Mr. Md. Ismail Hossain</t>
        </is>
      </c>
      <c r="F795" s="10" t="n">
        <v>10855</v>
      </c>
      <c r="G795" s="11" t="inlineStr">
        <is>
          <t>Maizdee (DDC)</t>
        </is>
      </c>
      <c r="H795" s="10" t="n">
        <v>9087</v>
      </c>
      <c r="I795" s="11" t="inlineStr">
        <is>
          <t>Mr. Md. Sahadat Hossain</t>
        </is>
      </c>
      <c r="J795" s="10">
        <f>IF(K795&gt;0, "Completed", "Pending")</f>
        <v/>
      </c>
      <c r="K795" s="10">
        <f>COUNTIF('Survey Responses'!F:F, F795)</f>
        <v/>
      </c>
    </row>
    <row r="796">
      <c r="A796" s="10" t="n">
        <v>795</v>
      </c>
      <c r="B796" s="11" t="inlineStr">
        <is>
          <t>Maizdee (GEN-A)</t>
        </is>
      </c>
      <c r="C796" s="11" t="inlineStr">
        <is>
          <t>Mr. Asit Kumar Sarker</t>
        </is>
      </c>
      <c r="D796" s="11" t="inlineStr">
        <is>
          <t>Maizdee GEN-A-2</t>
        </is>
      </c>
      <c r="E796" s="11" t="inlineStr">
        <is>
          <t>Mr. Md. Ismail Hossain</t>
        </is>
      </c>
      <c r="F796" s="10" t="n">
        <v>10854</v>
      </c>
      <c r="G796" s="11" t="inlineStr">
        <is>
          <t>Maizdee (Goodheal)</t>
        </is>
      </c>
      <c r="H796" s="10" t="n">
        <v>1776</v>
      </c>
      <c r="I796" s="11" t="inlineStr">
        <is>
          <t>Md. Shapon Mia</t>
        </is>
      </c>
      <c r="J796" s="10">
        <f>IF(K796&gt;0, "Completed", "Pending")</f>
        <v/>
      </c>
      <c r="K796" s="10">
        <f>COUNTIF('Survey Responses'!F:F, F796)</f>
        <v/>
      </c>
    </row>
    <row r="797">
      <c r="A797" s="10" t="n">
        <v>796</v>
      </c>
      <c r="B797" s="11" t="inlineStr">
        <is>
          <t>Maizdee (GEN-A)</t>
        </is>
      </c>
      <c r="C797" s="11" t="inlineStr">
        <is>
          <t>Mr. Asit Kumar Sarker</t>
        </is>
      </c>
      <c r="D797" s="11" t="inlineStr">
        <is>
          <t>Maizdee GEN-A-2</t>
        </is>
      </c>
      <c r="E797" s="11" t="inlineStr">
        <is>
          <t>Mr. Md. Ismail Hossain</t>
        </is>
      </c>
      <c r="F797" s="10" t="n">
        <v>10859</v>
      </c>
      <c r="G797" s="11" t="inlineStr">
        <is>
          <t>Maizdee (Prime Hospital)</t>
        </is>
      </c>
      <c r="H797" s="10" t="n">
        <v>8310</v>
      </c>
      <c r="I797" s="11" t="inlineStr">
        <is>
          <t>Mr. Md. Arafat Hossain</t>
        </is>
      </c>
      <c r="J797" s="10">
        <f>IF(K797&gt;0, "Completed", "Pending")</f>
        <v/>
      </c>
      <c r="K797" s="10">
        <f>COUNTIF('Survey Responses'!F:F, F797)</f>
        <v/>
      </c>
    </row>
    <row r="798">
      <c r="A798" s="10" t="n">
        <v>797</v>
      </c>
      <c r="B798" s="11" t="inlineStr">
        <is>
          <t>Maizdee (GEN-A)</t>
        </is>
      </c>
      <c r="C798" s="11" t="inlineStr">
        <is>
          <t>Mr. Asit Kumar Sarker</t>
        </is>
      </c>
      <c r="D798" s="11" t="inlineStr">
        <is>
          <t>Maizdee GEN-A-2</t>
        </is>
      </c>
      <c r="E798" s="11" t="inlineStr">
        <is>
          <t>Mr. Md. Ismail Hossain</t>
        </is>
      </c>
      <c r="F798" s="10" t="n">
        <v>14859</v>
      </c>
      <c r="G798" s="11" t="inlineStr">
        <is>
          <t>Maizdee (Prime Hospital)-2</t>
        </is>
      </c>
      <c r="H798" s="10" t="n">
        <v>8976</v>
      </c>
      <c r="I798" s="11" t="inlineStr">
        <is>
          <t>Mr. Md. Faizul Bashar</t>
        </is>
      </c>
      <c r="J798" s="10">
        <f>IF(K798&gt;0, "Completed", "Pending")</f>
        <v/>
      </c>
      <c r="K798" s="10">
        <f>COUNTIF('Survey Responses'!F:F, F798)</f>
        <v/>
      </c>
    </row>
    <row r="799">
      <c r="A799" s="10" t="n">
        <v>798</v>
      </c>
      <c r="B799" s="11" t="inlineStr">
        <is>
          <t>Maizdee (GEN-A)</t>
        </is>
      </c>
      <c r="C799" s="11" t="inlineStr">
        <is>
          <t>Mr. Asit Kumar Sarker</t>
        </is>
      </c>
      <c r="D799" s="11" t="inlineStr">
        <is>
          <t>Maizdee GEN-A-2</t>
        </is>
      </c>
      <c r="E799" s="11" t="inlineStr">
        <is>
          <t>Mr. Md. Ismail Hossain</t>
        </is>
      </c>
      <c r="F799" s="10" t="n">
        <v>10857</v>
      </c>
      <c r="G799" s="11" t="inlineStr">
        <is>
          <t>Maizdee (Trust One Hosp.)</t>
        </is>
      </c>
      <c r="H799" s="10" t="n">
        <v>5808</v>
      </c>
      <c r="I799" s="11" t="inlineStr">
        <is>
          <t>Mr. Md. Samiul Islam Sajon</t>
        </is>
      </c>
      <c r="J799" s="10">
        <f>IF(K799&gt;0, "Completed", "Pending")</f>
        <v/>
      </c>
      <c r="K799" s="10">
        <f>COUNTIF('Survey Responses'!F:F, F799)</f>
        <v/>
      </c>
    </row>
    <row r="800">
      <c r="A800" s="10" t="n">
        <v>799</v>
      </c>
      <c r="B800" s="11" t="inlineStr">
        <is>
          <t>Maizdee (GEN-A)</t>
        </is>
      </c>
      <c r="C800" s="11" t="inlineStr">
        <is>
          <t>Mr. Asit Kumar Sarker</t>
        </is>
      </c>
      <c r="D800" s="11" t="inlineStr">
        <is>
          <t>Sonaimuri GEN-A-1</t>
        </is>
      </c>
      <c r="E800" s="11" t="inlineStr">
        <is>
          <t>Mr. Md. Mamun Hossain</t>
        </is>
      </c>
      <c r="F800" s="10" t="n">
        <v>12583</v>
      </c>
      <c r="G800" s="11" t="inlineStr">
        <is>
          <t>Amishapara-1</t>
        </is>
      </c>
      <c r="H800" s="10" t="n">
        <v>6868</v>
      </c>
      <c r="I800" s="11" t="inlineStr">
        <is>
          <t>Mr. Md. Anarul Islam</t>
        </is>
      </c>
      <c r="J800" s="10">
        <f>IF(K800&gt;0, "Completed", "Pending")</f>
        <v/>
      </c>
      <c r="K800" s="10">
        <f>COUNTIF('Survey Responses'!F:F, F800)</f>
        <v/>
      </c>
    </row>
    <row r="801">
      <c r="A801" s="10" t="n">
        <v>800</v>
      </c>
      <c r="B801" s="11" t="inlineStr">
        <is>
          <t>Maizdee (GEN-A)</t>
        </is>
      </c>
      <c r="C801" s="11" t="inlineStr">
        <is>
          <t>Mr. Asit Kumar Sarker</t>
        </is>
      </c>
      <c r="D801" s="11" t="inlineStr">
        <is>
          <t>Sonaimuri GEN-A-1</t>
        </is>
      </c>
      <c r="E801" s="11" t="inlineStr">
        <is>
          <t>Mr. Md. Mamun Hossain</t>
        </is>
      </c>
      <c r="F801" s="10" t="n">
        <v>14125</v>
      </c>
      <c r="G801" s="11" t="inlineStr">
        <is>
          <t>Chhatarpaia-1</t>
        </is>
      </c>
      <c r="H801" s="10" t="n">
        <v>7414</v>
      </c>
      <c r="I801" s="11" t="inlineStr">
        <is>
          <t>Mr. Nyoun Sharker</t>
        </is>
      </c>
      <c r="J801" s="10">
        <f>IF(K801&gt;0, "Completed", "Pending")</f>
        <v/>
      </c>
      <c r="K801" s="10">
        <f>COUNTIF('Survey Responses'!F:F, F801)</f>
        <v/>
      </c>
    </row>
    <row r="802">
      <c r="A802" s="10" t="n">
        <v>801</v>
      </c>
      <c r="B802" s="11" t="inlineStr">
        <is>
          <t>Maizdee (GEN-A)</t>
        </is>
      </c>
      <c r="C802" s="11" t="inlineStr">
        <is>
          <t>Mr. Asit Kumar Sarker</t>
        </is>
      </c>
      <c r="D802" s="11" t="inlineStr">
        <is>
          <t>Sonaimuri GEN-A-1</t>
        </is>
      </c>
      <c r="E802" s="11" t="inlineStr">
        <is>
          <t>Mr. Md. Mamun Hossain</t>
        </is>
      </c>
      <c r="F802" s="10" t="n">
        <v>10879</v>
      </c>
      <c r="G802" s="11" t="inlineStr">
        <is>
          <t>Senbag-1</t>
        </is>
      </c>
      <c r="H802" s="10" t="n">
        <v>1108</v>
      </c>
      <c r="I802" s="11" t="inlineStr">
        <is>
          <t>Ahsanul Mahbub</t>
        </is>
      </c>
      <c r="J802" s="10">
        <f>IF(K802&gt;0, "Completed", "Pending")</f>
        <v/>
      </c>
      <c r="K802" s="10">
        <f>COUNTIF('Survey Responses'!F:F, F802)</f>
        <v/>
      </c>
    </row>
    <row r="803">
      <c r="A803" s="10" t="n">
        <v>802</v>
      </c>
      <c r="B803" s="11" t="inlineStr">
        <is>
          <t>Maizdee (GEN-A)</t>
        </is>
      </c>
      <c r="C803" s="11" t="inlineStr">
        <is>
          <t>Mr. Asit Kumar Sarker</t>
        </is>
      </c>
      <c r="D803" s="11" t="inlineStr">
        <is>
          <t>Sonaimuri GEN-A-1</t>
        </is>
      </c>
      <c r="E803" s="11" t="inlineStr">
        <is>
          <t>Mr. Md. Mamun Hossain</t>
        </is>
      </c>
      <c r="F803" s="10" t="n">
        <v>11782</v>
      </c>
      <c r="G803" s="11" t="inlineStr">
        <is>
          <t>Senbag-2</t>
        </is>
      </c>
      <c r="H803" s="10" t="n">
        <v>3729</v>
      </c>
      <c r="I803" s="11" t="inlineStr">
        <is>
          <t>Mr. Narayan Roy</t>
        </is>
      </c>
      <c r="J803" s="10">
        <f>IF(K803&gt;0, "Completed", "Pending")</f>
        <v/>
      </c>
      <c r="K803" s="10">
        <f>COUNTIF('Survey Responses'!F:F, F803)</f>
        <v/>
      </c>
    </row>
    <row r="804">
      <c r="A804" s="10" t="n">
        <v>803</v>
      </c>
      <c r="B804" s="11" t="inlineStr">
        <is>
          <t>Maizdee (GEN-A)</t>
        </is>
      </c>
      <c r="C804" s="11" t="inlineStr">
        <is>
          <t>Mr. Asit Kumar Sarker</t>
        </is>
      </c>
      <c r="D804" s="11" t="inlineStr">
        <is>
          <t>Sonaimuri GEN-A-1</t>
        </is>
      </c>
      <c r="E804" s="11" t="inlineStr">
        <is>
          <t>Mr. Md. Mamun Hossain</t>
        </is>
      </c>
      <c r="F804" s="10" t="n">
        <v>14562</v>
      </c>
      <c r="G804" s="11" t="inlineStr">
        <is>
          <t>Senbag-3</t>
        </is>
      </c>
      <c r="H804" s="10" t="n">
        <v>7643</v>
      </c>
      <c r="I804" s="11" t="inlineStr">
        <is>
          <t>Mr. Md. Jakir Hossain</t>
        </is>
      </c>
      <c r="J804" s="10">
        <f>IF(K804&gt;0, "Completed", "Pending")</f>
        <v/>
      </c>
      <c r="K804" s="10">
        <f>COUNTIF('Survey Responses'!F:F, F804)</f>
        <v/>
      </c>
    </row>
    <row r="805">
      <c r="A805" s="10" t="n">
        <v>804</v>
      </c>
      <c r="B805" s="11" t="inlineStr">
        <is>
          <t>Maizdee (GEN-A)</t>
        </is>
      </c>
      <c r="C805" s="11" t="inlineStr">
        <is>
          <t>Mr. Asit Kumar Sarker</t>
        </is>
      </c>
      <c r="D805" s="11" t="inlineStr">
        <is>
          <t>Sonaimuri GEN-A-1</t>
        </is>
      </c>
      <c r="E805" s="11" t="inlineStr">
        <is>
          <t>Mr. Md. Mamun Hossain</t>
        </is>
      </c>
      <c r="F805" s="10" t="n">
        <v>10876</v>
      </c>
      <c r="G805" s="11" t="inlineStr">
        <is>
          <t>Sonaimuri-1</t>
        </is>
      </c>
      <c r="H805" s="10" t="n">
        <v>1831</v>
      </c>
      <c r="I805" s="11" t="inlineStr">
        <is>
          <t>Md. Abdur Rahman</t>
        </is>
      </c>
      <c r="J805" s="10">
        <f>IF(K805&gt;0, "Completed", "Pending")</f>
        <v/>
      </c>
      <c r="K805" s="10">
        <f>COUNTIF('Survey Responses'!F:F, F805)</f>
        <v/>
      </c>
    </row>
    <row r="806">
      <c r="A806" s="10" t="n">
        <v>805</v>
      </c>
      <c r="B806" s="11" t="inlineStr">
        <is>
          <t>Maizdee (GEN-A)</t>
        </is>
      </c>
      <c r="C806" s="11" t="inlineStr">
        <is>
          <t>Mr. Asit Kumar Sarker</t>
        </is>
      </c>
      <c r="D806" s="11" t="inlineStr">
        <is>
          <t>Sonaimuri GEN-A-1</t>
        </is>
      </c>
      <c r="E806" s="11" t="inlineStr">
        <is>
          <t>Mr. Md. Mamun Hossain</t>
        </is>
      </c>
      <c r="F806" s="10" t="n">
        <v>10877</v>
      </c>
      <c r="G806" s="11" t="inlineStr">
        <is>
          <t>Sonaimuri-2</t>
        </is>
      </c>
      <c r="H806" s="10" t="n">
        <v>6658</v>
      </c>
      <c r="I806" s="11" t="inlineStr">
        <is>
          <t>Mr. Shakir Ahmed</t>
        </is>
      </c>
      <c r="J806" s="10">
        <f>IF(K806&gt;0, "Completed", "Pending")</f>
        <v/>
      </c>
      <c r="K806" s="10">
        <f>COUNTIF('Survey Responses'!F:F, F806)</f>
        <v/>
      </c>
    </row>
    <row r="807">
      <c r="A807" s="10" t="n">
        <v>806</v>
      </c>
      <c r="B807" s="11" t="inlineStr">
        <is>
          <t>Maizdee (GEN-A)</t>
        </is>
      </c>
      <c r="C807" s="11" t="inlineStr">
        <is>
          <t>Mr. Asit Kumar Sarker</t>
        </is>
      </c>
      <c r="D807" s="11" t="inlineStr">
        <is>
          <t>Sonaimuri GEN-A-1</t>
        </is>
      </c>
      <c r="E807" s="11" t="inlineStr">
        <is>
          <t>Mr. Md. Mamun Hossain</t>
        </is>
      </c>
      <c r="F807" s="10" t="n">
        <v>10878</v>
      </c>
      <c r="G807" s="11" t="inlineStr">
        <is>
          <t>Sonaimuri-3</t>
        </is>
      </c>
      <c r="H807" s="10" t="n">
        <v>3973</v>
      </c>
      <c r="I807" s="11" t="inlineStr">
        <is>
          <t>Mr. Abdul Alim</t>
        </is>
      </c>
      <c r="J807" s="10">
        <f>IF(K807&gt;0, "Completed", "Pending")</f>
        <v/>
      </c>
      <c r="K807" s="10">
        <f>COUNTIF('Survey Responses'!F:F, F807)</f>
        <v/>
      </c>
    </row>
    <row r="808">
      <c r="A808" s="10" t="n">
        <v>807</v>
      </c>
      <c r="B808" s="11" t="inlineStr">
        <is>
          <t>Maizdee (GEN-A)</t>
        </is>
      </c>
      <c r="C808" s="11" t="inlineStr">
        <is>
          <t>Mr. Asit Kumar Sarker</t>
        </is>
      </c>
      <c r="D808" s="11" t="inlineStr">
        <is>
          <t>Subornachar GEN-A-1</t>
        </is>
      </c>
      <c r="E808" s="11" t="inlineStr">
        <is>
          <t>Mr. Murad Hossain</t>
        </is>
      </c>
      <c r="F808" s="10" t="n">
        <v>10858</v>
      </c>
      <c r="G808" s="11" t="inlineStr">
        <is>
          <t>Hatiya-1</t>
        </is>
      </c>
      <c r="H808" s="10" t="n">
        <v>3984</v>
      </c>
      <c r="I808" s="11" t="inlineStr">
        <is>
          <t>Mr. Sumon Ali</t>
        </is>
      </c>
      <c r="J808" s="10">
        <f>IF(K808&gt;0, "Completed", "Pending")</f>
        <v/>
      </c>
      <c r="K808" s="10">
        <f>COUNTIF('Survey Responses'!F:F, F808)</f>
        <v/>
      </c>
    </row>
    <row r="809">
      <c r="A809" s="10" t="n">
        <v>808</v>
      </c>
      <c r="B809" s="11" t="inlineStr">
        <is>
          <t>Maizdee (GEN-A)</t>
        </is>
      </c>
      <c r="C809" s="11" t="inlineStr">
        <is>
          <t>Mr. Asit Kumar Sarker</t>
        </is>
      </c>
      <c r="D809" s="11" t="inlineStr">
        <is>
          <t>Subornachar GEN-A-1</t>
        </is>
      </c>
      <c r="E809" s="11" t="inlineStr">
        <is>
          <t>Mr. Murad Hossain</t>
        </is>
      </c>
      <c r="F809" s="10" t="n">
        <v>10860</v>
      </c>
      <c r="G809" s="11" t="inlineStr">
        <is>
          <t>Hatiya-2</t>
        </is>
      </c>
      <c r="H809" s="10" t="n">
        <v>3615</v>
      </c>
      <c r="I809" s="11" t="inlineStr">
        <is>
          <t>Mr. Md. Ruhul Amin Islam</t>
        </is>
      </c>
      <c r="J809" s="10">
        <f>IF(K809&gt;0, "Completed", "Pending")</f>
        <v/>
      </c>
      <c r="K809" s="10">
        <f>COUNTIF('Survey Responses'!F:F, F809)</f>
        <v/>
      </c>
    </row>
    <row r="810">
      <c r="A810" s="10" t="n">
        <v>809</v>
      </c>
      <c r="B810" s="11" t="inlineStr">
        <is>
          <t>Maizdee (GEN-A)</t>
        </is>
      </c>
      <c r="C810" s="11" t="inlineStr">
        <is>
          <t>Mr. Asit Kumar Sarker</t>
        </is>
      </c>
      <c r="D810" s="11" t="inlineStr">
        <is>
          <t>Subornachar GEN-A-1</t>
        </is>
      </c>
      <c r="E810" s="11" t="inlineStr">
        <is>
          <t>Mr. Murad Hossain</t>
        </is>
      </c>
      <c r="F810" s="10" t="n">
        <v>12322</v>
      </c>
      <c r="G810" s="11" t="inlineStr">
        <is>
          <t>Hatiya-3</t>
        </is>
      </c>
      <c r="H810" s="10" t="n">
        <v>3107</v>
      </c>
      <c r="I810" s="11" t="inlineStr">
        <is>
          <t>Enamul Haque</t>
        </is>
      </c>
      <c r="J810" s="10">
        <f>IF(K810&gt;0, "Completed", "Pending")</f>
        <v/>
      </c>
      <c r="K810" s="10">
        <f>COUNTIF('Survey Responses'!F:F, F810)</f>
        <v/>
      </c>
    </row>
    <row r="811">
      <c r="A811" s="10" t="n">
        <v>810</v>
      </c>
      <c r="B811" s="11" t="inlineStr">
        <is>
          <t>Maizdee (GEN-A)</t>
        </is>
      </c>
      <c r="C811" s="11" t="inlineStr">
        <is>
          <t>Mr. Asit Kumar Sarker</t>
        </is>
      </c>
      <c r="D811" s="11" t="inlineStr">
        <is>
          <t>Subornachar GEN-A-1</t>
        </is>
      </c>
      <c r="E811" s="11" t="inlineStr">
        <is>
          <t>Mr. Murad Hossain</t>
        </is>
      </c>
      <c r="F811" s="10" t="n">
        <v>10862</v>
      </c>
      <c r="G811" s="11" t="inlineStr">
        <is>
          <t>Subornochor-1</t>
        </is>
      </c>
      <c r="H811" s="10" t="n">
        <v>1687</v>
      </c>
      <c r="I811" s="11" t="inlineStr">
        <is>
          <t>Md. Nazrul Islam</t>
        </is>
      </c>
      <c r="J811" s="10">
        <f>IF(K811&gt;0, "Completed", "Pending")</f>
        <v/>
      </c>
      <c r="K811" s="10">
        <f>COUNTIF('Survey Responses'!F:F, F811)</f>
        <v/>
      </c>
    </row>
    <row r="812">
      <c r="A812" s="10" t="n">
        <v>811</v>
      </c>
      <c r="B812" s="11" t="inlineStr">
        <is>
          <t>Maizdee (GEN-A)</t>
        </is>
      </c>
      <c r="C812" s="11" t="inlineStr">
        <is>
          <t>Mr. Asit Kumar Sarker</t>
        </is>
      </c>
      <c r="D812" s="11" t="inlineStr">
        <is>
          <t>Subornachar GEN-A-1</t>
        </is>
      </c>
      <c r="E812" s="11" t="inlineStr">
        <is>
          <t>Mr. Murad Hossain</t>
        </is>
      </c>
      <c r="F812" s="10" t="n">
        <v>10863</v>
      </c>
      <c r="G812" s="11" t="inlineStr">
        <is>
          <t>Subornochor-2</t>
        </is>
      </c>
      <c r="H812" s="10" t="n">
        <v>1253</v>
      </c>
      <c r="I812" s="11" t="inlineStr">
        <is>
          <t>Md. Kowsar Alam</t>
        </is>
      </c>
      <c r="J812" s="10">
        <f>IF(K812&gt;0, "Completed", "Pending")</f>
        <v/>
      </c>
      <c r="K812" s="10">
        <f>COUNTIF('Survey Responses'!F:F, F812)</f>
        <v/>
      </c>
    </row>
    <row r="813">
      <c r="A813" s="10" t="n">
        <v>812</v>
      </c>
      <c r="B813" s="11" t="inlineStr">
        <is>
          <t>Maizdee (GEN-A)</t>
        </is>
      </c>
      <c r="C813" s="11" t="inlineStr">
        <is>
          <t>Mr. Asit Kumar Sarker</t>
        </is>
      </c>
      <c r="D813" s="11" t="inlineStr">
        <is>
          <t>Subornachar GEN-A-1</t>
        </is>
      </c>
      <c r="E813" s="11" t="inlineStr">
        <is>
          <t>Mr. Murad Hossain</t>
        </is>
      </c>
      <c r="F813" s="10" t="n">
        <v>12347</v>
      </c>
      <c r="G813" s="11" t="inlineStr">
        <is>
          <t>Subornochor-3</t>
        </is>
      </c>
      <c r="H813" s="10" t="n">
        <v>5676</v>
      </c>
      <c r="I813" s="11" t="inlineStr">
        <is>
          <t>Mr. Md. Farman Ali</t>
        </is>
      </c>
      <c r="J813" s="10">
        <f>IF(K813&gt;0, "Completed", "Pending")</f>
        <v/>
      </c>
      <c r="K813" s="10">
        <f>COUNTIF('Survey Responses'!F:F, F813)</f>
        <v/>
      </c>
    </row>
    <row r="814">
      <c r="A814" s="10" t="n">
        <v>813</v>
      </c>
      <c r="B814" s="11" t="inlineStr">
        <is>
          <t>Maizdee (GEN-A)</t>
        </is>
      </c>
      <c r="C814" s="11" t="inlineStr">
        <is>
          <t>Mr. Asit Kumar Sarker</t>
        </is>
      </c>
      <c r="D814" s="11" t="inlineStr">
        <is>
          <t>Subornachar GEN-A-1</t>
        </is>
      </c>
      <c r="E814" s="11" t="inlineStr">
        <is>
          <t>Mr. Murad Hossain</t>
        </is>
      </c>
      <c r="F814" s="10" t="n">
        <v>14139</v>
      </c>
      <c r="G814" s="11" t="inlineStr">
        <is>
          <t>Subornochor-4</t>
        </is>
      </c>
      <c r="H814" s="10" t="n">
        <v>7465</v>
      </c>
      <c r="I814" s="11" t="inlineStr">
        <is>
          <t>Mr. Anwar Hossain</t>
        </is>
      </c>
      <c r="J814" s="10">
        <f>IF(K814&gt;0, "Completed", "Pending")</f>
        <v/>
      </c>
      <c r="K814" s="10">
        <f>COUNTIF('Survey Responses'!F:F, F814)</f>
        <v/>
      </c>
    </row>
    <row r="815">
      <c r="A815" s="10" t="n">
        <v>814</v>
      </c>
      <c r="B815" s="11" t="inlineStr">
        <is>
          <t>Dhaka-B (GEN-A)</t>
        </is>
      </c>
      <c r="C815" s="11" t="inlineStr">
        <is>
          <t>Mr. Iqbal Hossain</t>
        </is>
      </c>
      <c r="D815" s="11" t="inlineStr">
        <is>
          <t>Dhaka GEN-A-11</t>
        </is>
      </c>
      <c r="E815" s="11" t="inlineStr">
        <is>
          <t>Mr. Murshahid</t>
        </is>
      </c>
      <c r="F815" s="10" t="n">
        <v>14855</v>
      </c>
      <c r="G815" s="11" t="inlineStr">
        <is>
          <t>BRB-Samorita</t>
        </is>
      </c>
      <c r="H815" s="10" t="n">
        <v>8971</v>
      </c>
      <c r="I815" s="11" t="inlineStr">
        <is>
          <t>Mr. Bijoy Debnath</t>
        </is>
      </c>
      <c r="J815" s="10">
        <f>IF(K815&gt;0, "Completed", "Pending")</f>
        <v/>
      </c>
      <c r="K815" s="10">
        <f>COUNTIF('Survey Responses'!F:F, F815)</f>
        <v/>
      </c>
    </row>
    <row r="816">
      <c r="A816" s="10" t="n">
        <v>815</v>
      </c>
      <c r="B816" s="11" t="inlineStr">
        <is>
          <t>Dhaka-B (GEN-A)</t>
        </is>
      </c>
      <c r="C816" s="11" t="inlineStr">
        <is>
          <t>Mr. Iqbal Hossain</t>
        </is>
      </c>
      <c r="D816" s="11" t="inlineStr">
        <is>
          <t>Dhaka GEN-A-11</t>
        </is>
      </c>
      <c r="E816" s="11" t="inlineStr">
        <is>
          <t>Mr. Murshahid</t>
        </is>
      </c>
      <c r="F816" s="10" t="n">
        <v>10072</v>
      </c>
      <c r="G816" s="11" t="inlineStr">
        <is>
          <t>BSMMU-Green Life</t>
        </is>
      </c>
      <c r="H816" s="10" t="n">
        <v>7622</v>
      </c>
      <c r="I816" s="11" t="inlineStr">
        <is>
          <t>Mr. Md. Sarowar Hossen</t>
        </is>
      </c>
      <c r="J816" s="10">
        <f>IF(K816&gt;0, "Completed", "Pending")</f>
        <v/>
      </c>
      <c r="K816" s="10">
        <f>COUNTIF('Survey Responses'!F:F, F816)</f>
        <v/>
      </c>
    </row>
    <row r="817">
      <c r="A817" s="10" t="n">
        <v>816</v>
      </c>
      <c r="B817" s="11" t="inlineStr">
        <is>
          <t>Dhaka-B (GEN-A)</t>
        </is>
      </c>
      <c r="C817" s="11" t="inlineStr">
        <is>
          <t>Mr. Iqbal Hossain</t>
        </is>
      </c>
      <c r="D817" s="11" t="inlineStr">
        <is>
          <t>Dhaka GEN-A-11</t>
        </is>
      </c>
      <c r="E817" s="11" t="inlineStr">
        <is>
          <t>Mr. Murshahid</t>
        </is>
      </c>
      <c r="F817" s="10" t="n">
        <v>10070</v>
      </c>
      <c r="G817" s="11" t="inlineStr">
        <is>
          <t>BSMMU-Green-Super-Rajabazar</t>
        </is>
      </c>
      <c r="H817" s="10" t="n">
        <v>8596</v>
      </c>
      <c r="I817" s="11" t="inlineStr">
        <is>
          <t>Mr. Arafat Md. Anisur Rahman</t>
        </is>
      </c>
      <c r="J817" s="10">
        <f>IF(K817&gt;0, "Completed", "Pending")</f>
        <v/>
      </c>
      <c r="K817" s="10">
        <f>COUNTIF('Survey Responses'!F:F, F817)</f>
        <v/>
      </c>
    </row>
    <row r="818">
      <c r="A818" s="10" t="n">
        <v>817</v>
      </c>
      <c r="B818" s="11" t="inlineStr">
        <is>
          <t>Dhaka-B (GEN-A)</t>
        </is>
      </c>
      <c r="C818" s="11" t="inlineStr">
        <is>
          <t>Mr. Iqbal Hossain</t>
        </is>
      </c>
      <c r="D818" s="11" t="inlineStr">
        <is>
          <t>Dhaka GEN-A-11</t>
        </is>
      </c>
      <c r="E818" s="11" t="inlineStr">
        <is>
          <t>Mr. Murshahid</t>
        </is>
      </c>
      <c r="F818" s="10" t="n">
        <v>10077</v>
      </c>
      <c r="G818" s="11" t="inlineStr">
        <is>
          <t>BSMMU-Health &amp; Hope</t>
        </is>
      </c>
      <c r="H818" s="10" t="n">
        <v>0</v>
      </c>
      <c r="I818" s="11" t="inlineStr">
        <is>
          <t>BSMMU-Health &amp; Hope</t>
        </is>
      </c>
      <c r="J818" s="10">
        <f>IF(K818&gt;0, "Completed", "Pending")</f>
        <v/>
      </c>
      <c r="K818" s="10">
        <f>COUNTIF('Survey Responses'!F:F, F818)</f>
        <v/>
      </c>
    </row>
    <row r="819">
      <c r="A819" s="10" t="n">
        <v>818</v>
      </c>
      <c r="B819" s="11" t="inlineStr">
        <is>
          <t>Dhaka-B (GEN-A)</t>
        </is>
      </c>
      <c r="C819" s="11" t="inlineStr">
        <is>
          <t>Mr. Iqbal Hossain</t>
        </is>
      </c>
      <c r="D819" s="11" t="inlineStr">
        <is>
          <t>Dhaka GEN-A-11</t>
        </is>
      </c>
      <c r="E819" s="11" t="inlineStr">
        <is>
          <t>Mr. Murshahid</t>
        </is>
      </c>
      <c r="F819" s="10" t="n">
        <v>10073</v>
      </c>
      <c r="G819" s="11" t="inlineStr">
        <is>
          <t>Comfort Hospital</t>
        </is>
      </c>
      <c r="H819" s="10" t="n">
        <v>1416</v>
      </c>
      <c r="I819" s="11" t="inlineStr">
        <is>
          <t>Md. Altafur Rahman</t>
        </is>
      </c>
      <c r="J819" s="10">
        <f>IF(K819&gt;0, "Completed", "Pending")</f>
        <v/>
      </c>
      <c r="K819" s="10">
        <f>COUNTIF('Survey Responses'!F:F, F819)</f>
        <v/>
      </c>
    </row>
    <row r="820">
      <c r="A820" s="10" t="n">
        <v>819</v>
      </c>
      <c r="B820" s="11" t="inlineStr">
        <is>
          <t>Dhaka-B (GEN-A)</t>
        </is>
      </c>
      <c r="C820" s="11" t="inlineStr">
        <is>
          <t>Mr. Iqbal Hossain</t>
        </is>
      </c>
      <c r="D820" s="11" t="inlineStr">
        <is>
          <t>Dhaka GEN-A-11</t>
        </is>
      </c>
      <c r="E820" s="11" t="inlineStr">
        <is>
          <t>Mr. Murshahid</t>
        </is>
      </c>
      <c r="F820" s="10" t="n">
        <v>10076</v>
      </c>
      <c r="G820" s="11" t="inlineStr">
        <is>
          <t>Green Life</t>
        </is>
      </c>
      <c r="H820" s="10" t="n">
        <v>3463</v>
      </c>
      <c r="I820" s="11" t="inlineStr">
        <is>
          <t>Mr. Md. Asaduzzaman</t>
        </is>
      </c>
      <c r="J820" s="10">
        <f>IF(K820&gt;0, "Completed", "Pending")</f>
        <v/>
      </c>
      <c r="K820" s="10">
        <f>COUNTIF('Survey Responses'!F:F, F820)</f>
        <v/>
      </c>
    </row>
    <row r="821">
      <c r="A821" s="10" t="n">
        <v>820</v>
      </c>
      <c r="B821" s="11" t="inlineStr">
        <is>
          <t>Dhaka-B (GEN-A)</t>
        </is>
      </c>
      <c r="C821" s="11" t="inlineStr">
        <is>
          <t>Mr. Iqbal Hossain</t>
        </is>
      </c>
      <c r="D821" s="11" t="inlineStr">
        <is>
          <t>Dhaka GEN-A-11</t>
        </is>
      </c>
      <c r="E821" s="11" t="inlineStr">
        <is>
          <t>Mr. Murshahid</t>
        </is>
      </c>
      <c r="F821" s="10" t="n">
        <v>10071</v>
      </c>
      <c r="G821" s="11" t="inlineStr">
        <is>
          <t>Samorita-Square-1</t>
        </is>
      </c>
      <c r="H821" s="10" t="n">
        <v>3131</v>
      </c>
      <c r="I821" s="11" t="inlineStr">
        <is>
          <t>Md. Safayod Zaman</t>
        </is>
      </c>
      <c r="J821" s="10">
        <f>IF(K821&gt;0, "Completed", "Pending")</f>
        <v/>
      </c>
      <c r="K821" s="10">
        <f>COUNTIF('Survey Responses'!F:F, F821)</f>
        <v/>
      </c>
    </row>
    <row r="822">
      <c r="A822" s="10" t="n">
        <v>821</v>
      </c>
      <c r="B822" s="11" t="inlineStr">
        <is>
          <t>Dhaka-B (GEN-A)</t>
        </is>
      </c>
      <c r="C822" s="11" t="inlineStr">
        <is>
          <t>Mr. Iqbal Hossain</t>
        </is>
      </c>
      <c r="D822" s="11" t="inlineStr">
        <is>
          <t>Dhaka GEN-A-11</t>
        </is>
      </c>
      <c r="E822" s="11" t="inlineStr">
        <is>
          <t>Mr. Murshahid</t>
        </is>
      </c>
      <c r="F822" s="10" t="n">
        <v>10074</v>
      </c>
      <c r="G822" s="11" t="inlineStr">
        <is>
          <t>Samorita-Square-2</t>
        </is>
      </c>
      <c r="H822" s="10" t="n">
        <v>1371</v>
      </c>
      <c r="I822" s="11" t="inlineStr">
        <is>
          <t>Mr. Md. Tarikul Islam</t>
        </is>
      </c>
      <c r="J822" s="10">
        <f>IF(K822&gt;0, "Completed", "Pending")</f>
        <v/>
      </c>
      <c r="K822" s="10">
        <f>COUNTIF('Survey Responses'!F:F, F822)</f>
        <v/>
      </c>
    </row>
    <row r="823">
      <c r="A823" s="10" t="n">
        <v>822</v>
      </c>
      <c r="B823" s="11" t="inlineStr">
        <is>
          <t>Dhaka-B (GEN-A)</t>
        </is>
      </c>
      <c r="C823" s="11" t="inlineStr">
        <is>
          <t>Mr. Iqbal Hossain</t>
        </is>
      </c>
      <c r="D823" s="11" t="inlineStr">
        <is>
          <t>Dhaka GEN-A-15</t>
        </is>
      </c>
      <c r="E823" s="11" t="inlineStr">
        <is>
          <t>Mr. Md. Zahidur Rahman</t>
        </is>
      </c>
      <c r="F823" s="10" t="n">
        <v>10069</v>
      </c>
      <c r="G823" s="11" t="inlineStr">
        <is>
          <t>BSMMU-4</t>
        </is>
      </c>
      <c r="H823" s="10" t="n">
        <v>4995</v>
      </c>
      <c r="I823" s="11" t="inlineStr">
        <is>
          <t>Mr. Md. Rokan Ud Doula</t>
        </is>
      </c>
      <c r="J823" s="10">
        <f>IF(K823&gt;0, "Completed", "Pending")</f>
        <v/>
      </c>
      <c r="K823" s="10">
        <f>COUNTIF('Survey Responses'!F:F, F823)</f>
        <v/>
      </c>
    </row>
    <row r="824">
      <c r="A824" s="10" t="n">
        <v>823</v>
      </c>
      <c r="B824" s="11" t="inlineStr">
        <is>
          <t>Dhaka-B (GEN-A)</t>
        </is>
      </c>
      <c r="C824" s="11" t="inlineStr">
        <is>
          <t>Mr. Iqbal Hossain</t>
        </is>
      </c>
      <c r="D824" s="11" t="inlineStr">
        <is>
          <t>Dhaka GEN-A-15</t>
        </is>
      </c>
      <c r="E824" s="11" t="inlineStr">
        <is>
          <t>Mr. Md. Zahidur Rahman</t>
        </is>
      </c>
      <c r="F824" s="10" t="n">
        <v>10067</v>
      </c>
      <c r="G824" s="11" t="inlineStr">
        <is>
          <t>BSMMU-Central Hospital-1</t>
        </is>
      </c>
      <c r="H824" s="10" t="n">
        <v>1872</v>
      </c>
      <c r="I824" s="11" t="inlineStr">
        <is>
          <t>Md. Golam Touhid</t>
        </is>
      </c>
      <c r="J824" s="10">
        <f>IF(K824&gt;0, "Completed", "Pending")</f>
        <v/>
      </c>
      <c r="K824" s="10">
        <f>COUNTIF('Survey Responses'!F:F, F824)</f>
        <v/>
      </c>
    </row>
    <row r="825">
      <c r="A825" s="10" t="n">
        <v>824</v>
      </c>
      <c r="B825" s="11" t="inlineStr">
        <is>
          <t>Dhaka-B (GEN-A)</t>
        </is>
      </c>
      <c r="C825" s="11" t="inlineStr">
        <is>
          <t>Mr. Iqbal Hossain</t>
        </is>
      </c>
      <c r="D825" s="11" t="inlineStr">
        <is>
          <t>Dhaka GEN-A-15</t>
        </is>
      </c>
      <c r="E825" s="11" t="inlineStr">
        <is>
          <t>Mr. Md. Zahidur Rahman</t>
        </is>
      </c>
      <c r="F825" s="10" t="n">
        <v>10066</v>
      </c>
      <c r="G825" s="11" t="inlineStr">
        <is>
          <t>BSMMU-Central Hospital-2</t>
        </is>
      </c>
      <c r="H825" s="10" t="n">
        <v>7317</v>
      </c>
      <c r="I825" s="11" t="inlineStr">
        <is>
          <t>Mr. Simanta Kumar Shuvo</t>
        </is>
      </c>
      <c r="J825" s="10">
        <f>IF(K825&gt;0, "Completed", "Pending")</f>
        <v/>
      </c>
      <c r="K825" s="10">
        <f>COUNTIF('Survey Responses'!F:F, F825)</f>
        <v/>
      </c>
    </row>
    <row r="826">
      <c r="A826" s="10" t="n">
        <v>825</v>
      </c>
      <c r="B826" s="11" t="inlineStr">
        <is>
          <t>Dhaka-B (GEN-A)</t>
        </is>
      </c>
      <c r="C826" s="11" t="inlineStr">
        <is>
          <t>Mr. Iqbal Hossain</t>
        </is>
      </c>
      <c r="D826" s="11" t="inlineStr">
        <is>
          <t>Dhaka GEN-A-15</t>
        </is>
      </c>
      <c r="E826" s="11" t="inlineStr">
        <is>
          <t>Mr. Md. Zahidur Rahman</t>
        </is>
      </c>
      <c r="F826" s="10" t="n">
        <v>10064</v>
      </c>
      <c r="G826" s="11" t="inlineStr">
        <is>
          <t>BSMMU-Elephant Road</t>
        </is>
      </c>
      <c r="H826" s="10" t="n">
        <v>6496</v>
      </c>
      <c r="I826" s="11" t="inlineStr">
        <is>
          <t>Mr. Md. Shakil</t>
        </is>
      </c>
      <c r="J826" s="10">
        <f>IF(K826&gt;0, "Completed", "Pending")</f>
        <v/>
      </c>
      <c r="K826" s="10">
        <f>COUNTIF('Survey Responses'!F:F, F826)</f>
        <v/>
      </c>
    </row>
    <row r="827">
      <c r="A827" s="10" t="n">
        <v>826</v>
      </c>
      <c r="B827" s="11" t="inlineStr">
        <is>
          <t>Dhaka-B (GEN-A)</t>
        </is>
      </c>
      <c r="C827" s="11" t="inlineStr">
        <is>
          <t>Mr. Iqbal Hossain</t>
        </is>
      </c>
      <c r="D827" s="11" t="inlineStr">
        <is>
          <t>Dhaka GEN-A-15</t>
        </is>
      </c>
      <c r="E827" s="11" t="inlineStr">
        <is>
          <t>Mr. Md. Zahidur Rahman</t>
        </is>
      </c>
      <c r="F827" s="10" t="n">
        <v>10063</v>
      </c>
      <c r="G827" s="11" t="inlineStr">
        <is>
          <t>BSMMU-Modern Hospital-1</t>
        </is>
      </c>
      <c r="H827" s="10" t="n">
        <v>1913</v>
      </c>
      <c r="I827" s="11" t="inlineStr">
        <is>
          <t>Md. Jahangir Alam</t>
        </is>
      </c>
      <c r="J827" s="10">
        <f>IF(K827&gt;0, "Completed", "Pending")</f>
        <v/>
      </c>
      <c r="K827" s="10">
        <f>COUNTIF('Survey Responses'!F:F, F827)</f>
        <v/>
      </c>
    </row>
    <row r="828">
      <c r="A828" s="10" t="n">
        <v>827</v>
      </c>
      <c r="B828" s="11" t="inlineStr">
        <is>
          <t>Dhaka-B (GEN-A)</t>
        </is>
      </c>
      <c r="C828" s="11" t="inlineStr">
        <is>
          <t>Mr. Iqbal Hossain</t>
        </is>
      </c>
      <c r="D828" s="11" t="inlineStr">
        <is>
          <t>Dhaka GEN-A-15</t>
        </is>
      </c>
      <c r="E828" s="11" t="inlineStr">
        <is>
          <t>Mr. Md. Zahidur Rahman</t>
        </is>
      </c>
      <c r="F828" s="10" t="n">
        <v>10065</v>
      </c>
      <c r="G828" s="11" t="inlineStr">
        <is>
          <t>BSMMU-Modern Hospital-2</t>
        </is>
      </c>
      <c r="H828" s="10" t="n">
        <v>1485</v>
      </c>
      <c r="I828" s="11" t="inlineStr">
        <is>
          <t>Md. Aktarujjaman</t>
        </is>
      </c>
      <c r="J828" s="10">
        <f>IF(K828&gt;0, "Completed", "Pending")</f>
        <v/>
      </c>
      <c r="K828" s="10">
        <f>COUNTIF('Survey Responses'!F:F, F828)</f>
        <v/>
      </c>
    </row>
    <row r="829">
      <c r="A829" s="10" t="n">
        <v>828</v>
      </c>
      <c r="B829" s="11" t="inlineStr">
        <is>
          <t>Dhaka-B (GEN-A)</t>
        </is>
      </c>
      <c r="C829" s="11" t="inlineStr">
        <is>
          <t>Mr. Iqbal Hossain</t>
        </is>
      </c>
      <c r="D829" s="11" t="inlineStr">
        <is>
          <t>Dhaka GEN-A-15</t>
        </is>
      </c>
      <c r="E829" s="11" t="inlineStr">
        <is>
          <t>Mr. Md. Zahidur Rahman</t>
        </is>
      </c>
      <c r="F829" s="10" t="n">
        <v>10068</v>
      </c>
      <c r="G829" s="11" t="inlineStr">
        <is>
          <t>BSMMU-Modern Hospital-3</t>
        </is>
      </c>
      <c r="H829" s="10" t="n">
        <v>1790</v>
      </c>
      <c r="I829" s="11" t="inlineStr">
        <is>
          <t>Md. Showkat Iqbal</t>
        </is>
      </c>
      <c r="J829" s="10">
        <f>IF(K829&gt;0, "Completed", "Pending")</f>
        <v/>
      </c>
      <c r="K829" s="10">
        <f>COUNTIF('Survey Responses'!F:F, F829)</f>
        <v/>
      </c>
    </row>
    <row r="830">
      <c r="A830" s="10" t="n">
        <v>829</v>
      </c>
      <c r="B830" s="11" t="inlineStr">
        <is>
          <t>Dhaka-B (GEN-A)</t>
        </is>
      </c>
      <c r="C830" s="11" t="inlineStr">
        <is>
          <t>Mr. Iqbal Hossain</t>
        </is>
      </c>
      <c r="D830" s="11" t="inlineStr">
        <is>
          <t>Dhaka GEN-A-16</t>
        </is>
      </c>
      <c r="E830" s="11" t="inlineStr">
        <is>
          <t>Md. Nurnabi Mondal</t>
        </is>
      </c>
      <c r="F830" s="10" t="n">
        <v>13641</v>
      </c>
      <c r="G830" s="11" t="inlineStr">
        <is>
          <t>BIRDEM-Aurora</t>
        </is>
      </c>
      <c r="H830" s="10" t="n">
        <v>8646</v>
      </c>
      <c r="I830" s="11" t="inlineStr">
        <is>
          <t>Mr. Md. Rakibul Islam</t>
        </is>
      </c>
      <c r="J830" s="10">
        <f>IF(K830&gt;0, "Completed", "Pending")</f>
        <v/>
      </c>
      <c r="K830" s="10">
        <f>COUNTIF('Survey Responses'!F:F, F830)</f>
        <v/>
      </c>
    </row>
    <row r="831">
      <c r="A831" s="10" t="n">
        <v>830</v>
      </c>
      <c r="B831" s="11" t="inlineStr">
        <is>
          <t>Dhaka-B (GEN-A)</t>
        </is>
      </c>
      <c r="C831" s="11" t="inlineStr">
        <is>
          <t>Mr. Iqbal Hossain</t>
        </is>
      </c>
      <c r="D831" s="11" t="inlineStr">
        <is>
          <t>Dhaka GEN-A-16</t>
        </is>
      </c>
      <c r="E831" s="11" t="inlineStr">
        <is>
          <t>Md. Nurnabi Mondal</t>
        </is>
      </c>
      <c r="F831" s="10" t="n">
        <v>12950</v>
      </c>
      <c r="G831" s="11" t="inlineStr">
        <is>
          <t>BIRDEM-Segunbagicha</t>
        </is>
      </c>
      <c r="H831" s="10" t="n">
        <v>5177</v>
      </c>
      <c r="I831" s="11" t="inlineStr">
        <is>
          <t>Mr. Md. Rakibul Alam</t>
        </is>
      </c>
      <c r="J831" s="10">
        <f>IF(K831&gt;0, "Completed", "Pending")</f>
        <v/>
      </c>
      <c r="K831" s="10">
        <f>COUNTIF('Survey Responses'!F:F, F831)</f>
        <v/>
      </c>
    </row>
    <row r="832">
      <c r="A832" s="10" t="n">
        <v>831</v>
      </c>
      <c r="B832" s="11" t="inlineStr">
        <is>
          <t>Dhaka-B (GEN-A)</t>
        </is>
      </c>
      <c r="C832" s="11" t="inlineStr">
        <is>
          <t>Mr. Iqbal Hossain</t>
        </is>
      </c>
      <c r="D832" s="11" t="inlineStr">
        <is>
          <t>Dhaka GEN-A-16</t>
        </is>
      </c>
      <c r="E832" s="11" t="inlineStr">
        <is>
          <t>Md. Nurnabi Mondal</t>
        </is>
      </c>
      <c r="F832" s="10" t="n">
        <v>10591</v>
      </c>
      <c r="G832" s="11" t="inlineStr">
        <is>
          <t>BIRDEM-Shantinagar</t>
        </is>
      </c>
      <c r="H832" s="10" t="n">
        <v>1104</v>
      </c>
      <c r="I832" s="11" t="inlineStr">
        <is>
          <t>Md. Rafiqul Islam</t>
        </is>
      </c>
      <c r="J832" s="10">
        <f>IF(K832&gt;0, "Completed", "Pending")</f>
        <v/>
      </c>
      <c r="K832" s="10">
        <f>COUNTIF('Survey Responses'!F:F, F832)</f>
        <v/>
      </c>
    </row>
    <row r="833">
      <c r="A833" s="10" t="n">
        <v>832</v>
      </c>
      <c r="B833" s="11" t="inlineStr">
        <is>
          <t>Dhaka-B (GEN-A)</t>
        </is>
      </c>
      <c r="C833" s="11" t="inlineStr">
        <is>
          <t>Mr. Iqbal Hossain</t>
        </is>
      </c>
      <c r="D833" s="11" t="inlineStr">
        <is>
          <t>Dhaka GEN-A-16</t>
        </is>
      </c>
      <c r="E833" s="11" t="inlineStr">
        <is>
          <t>Md. Nurnabi Mondal</t>
        </is>
      </c>
      <c r="F833" s="10" t="n">
        <v>10596</v>
      </c>
      <c r="G833" s="11" t="inlineStr">
        <is>
          <t>IBCH</t>
        </is>
      </c>
      <c r="H833" s="10" t="n">
        <v>8785</v>
      </c>
      <c r="I833" s="11" t="inlineStr">
        <is>
          <t>Mr. Md. Tarikul Islam</t>
        </is>
      </c>
      <c r="J833" s="10">
        <f>IF(K833&gt;0, "Completed", "Pending")</f>
        <v/>
      </c>
      <c r="K833" s="10">
        <f>COUNTIF('Survey Responses'!F:F, F833)</f>
        <v/>
      </c>
    </row>
    <row r="834">
      <c r="A834" s="10" t="n">
        <v>833</v>
      </c>
      <c r="B834" s="11" t="inlineStr">
        <is>
          <t>Dhaka-B (GEN-A)</t>
        </is>
      </c>
      <c r="C834" s="11" t="inlineStr">
        <is>
          <t>Mr. Iqbal Hossain</t>
        </is>
      </c>
      <c r="D834" s="11" t="inlineStr">
        <is>
          <t>Dhaka GEN-A-16</t>
        </is>
      </c>
      <c r="E834" s="11" t="inlineStr">
        <is>
          <t>Md. Nurnabi Mondal</t>
        </is>
      </c>
      <c r="F834" s="10" t="n">
        <v>10594</v>
      </c>
      <c r="G834" s="11" t="inlineStr">
        <is>
          <t>IBCH-Fakirapool-1</t>
        </is>
      </c>
      <c r="H834" s="10" t="n">
        <v>631</v>
      </c>
      <c r="I834" s="11" t="inlineStr">
        <is>
          <t>Md. Jahirul Haque</t>
        </is>
      </c>
      <c r="J834" s="10">
        <f>IF(K834&gt;0, "Completed", "Pending")</f>
        <v/>
      </c>
      <c r="K834" s="10">
        <f>COUNTIF('Survey Responses'!F:F, F834)</f>
        <v/>
      </c>
    </row>
    <row r="835">
      <c r="A835" s="10" t="n">
        <v>834</v>
      </c>
      <c r="B835" s="11" t="inlineStr">
        <is>
          <t>Dhaka-B (GEN-A)</t>
        </is>
      </c>
      <c r="C835" s="11" t="inlineStr">
        <is>
          <t>Mr. Iqbal Hossain</t>
        </is>
      </c>
      <c r="D835" s="11" t="inlineStr">
        <is>
          <t>Dhaka GEN-A-16</t>
        </is>
      </c>
      <c r="E835" s="11" t="inlineStr">
        <is>
          <t>Md. Nurnabi Mondal</t>
        </is>
      </c>
      <c r="F835" s="10" t="n">
        <v>14142</v>
      </c>
      <c r="G835" s="11" t="inlineStr">
        <is>
          <t>IBCH-Fakirapool-2</t>
        </is>
      </c>
      <c r="H835" s="10" t="n">
        <v>7487</v>
      </c>
      <c r="I835" s="11" t="inlineStr">
        <is>
          <t>Mr. Md. Arifujjaman Sarkar</t>
        </is>
      </c>
      <c r="J835" s="10">
        <f>IF(K835&gt;0, "Completed", "Pending")</f>
        <v/>
      </c>
      <c r="K835" s="10">
        <f>COUNTIF('Survey Responses'!F:F, F835)</f>
        <v/>
      </c>
    </row>
    <row r="836">
      <c r="A836" s="10" t="n">
        <v>835</v>
      </c>
      <c r="B836" s="11" t="inlineStr">
        <is>
          <t>Dhaka-B (GEN-A)</t>
        </is>
      </c>
      <c r="C836" s="11" t="inlineStr">
        <is>
          <t>Mr. Iqbal Hossain</t>
        </is>
      </c>
      <c r="D836" s="11" t="inlineStr">
        <is>
          <t>Dhaka GEN-A-16</t>
        </is>
      </c>
      <c r="E836" s="11" t="inlineStr">
        <is>
          <t>Md. Nurnabi Mondal</t>
        </is>
      </c>
      <c r="F836" s="10" t="n">
        <v>10590</v>
      </c>
      <c r="G836" s="11" t="inlineStr">
        <is>
          <t>IBCH-Paltan</t>
        </is>
      </c>
      <c r="H836" s="10" t="n">
        <v>7307</v>
      </c>
      <c r="I836" s="11" t="inlineStr">
        <is>
          <t>Mr. Nasir Ahmed</t>
        </is>
      </c>
      <c r="J836" s="10">
        <f>IF(K836&gt;0, "Completed", "Pending")</f>
        <v/>
      </c>
      <c r="K836" s="10">
        <f>COUNTIF('Survey Responses'!F:F, F836)</f>
        <v/>
      </c>
    </row>
    <row r="837">
      <c r="A837" s="10" t="n">
        <v>836</v>
      </c>
      <c r="B837" s="11" t="inlineStr">
        <is>
          <t>Dhaka-B (GEN-A)</t>
        </is>
      </c>
      <c r="C837" s="11" t="inlineStr">
        <is>
          <t>Mr. Iqbal Hossain</t>
        </is>
      </c>
      <c r="D837" s="11" t="inlineStr">
        <is>
          <t>Dhaka GEN-A-2</t>
        </is>
      </c>
      <c r="E837" s="11" t="inlineStr">
        <is>
          <t>Mr. Md. Arif Sarkar</t>
        </is>
      </c>
      <c r="F837" s="10" t="n">
        <v>10577</v>
      </c>
      <c r="G837" s="11" t="inlineStr">
        <is>
          <t>BIRDEM</t>
        </is>
      </c>
      <c r="H837" s="10" t="n">
        <v>1523</v>
      </c>
      <c r="I837" s="11" t="inlineStr">
        <is>
          <t>Sayed Kamal Ahmed</t>
        </is>
      </c>
      <c r="J837" s="10">
        <f>IF(K837&gt;0, "Completed", "Pending")</f>
        <v/>
      </c>
      <c r="K837" s="10">
        <f>COUNTIF('Survey Responses'!F:F, F837)</f>
        <v/>
      </c>
    </row>
    <row r="838">
      <c r="A838" s="10" t="n">
        <v>837</v>
      </c>
      <c r="B838" s="11" t="inlineStr">
        <is>
          <t>Dhaka-B (GEN-A)</t>
        </is>
      </c>
      <c r="C838" s="11" t="inlineStr">
        <is>
          <t>Mr. Iqbal Hossain</t>
        </is>
      </c>
      <c r="D838" s="11" t="inlineStr">
        <is>
          <t>Dhaka GEN-A-2</t>
        </is>
      </c>
      <c r="E838" s="11" t="inlineStr">
        <is>
          <t>Mr. Md. Arif Sarkar</t>
        </is>
      </c>
      <c r="F838" s="10" t="n">
        <v>10578</v>
      </c>
      <c r="G838" s="11" t="inlineStr">
        <is>
          <t>BIRDEM-1</t>
        </is>
      </c>
      <c r="H838" s="10" t="n">
        <v>2526</v>
      </c>
      <c r="I838" s="11" t="inlineStr">
        <is>
          <t>Md. Ahasan Habib Mondal</t>
        </is>
      </c>
      <c r="J838" s="10">
        <f>IF(K838&gt;0, "Completed", "Pending")</f>
        <v/>
      </c>
      <c r="K838" s="10">
        <f>COUNTIF('Survey Responses'!F:F, F838)</f>
        <v/>
      </c>
    </row>
    <row r="839">
      <c r="A839" s="10" t="n">
        <v>838</v>
      </c>
      <c r="B839" s="11" t="inlineStr">
        <is>
          <t>Dhaka-B (GEN-A)</t>
        </is>
      </c>
      <c r="C839" s="11" t="inlineStr">
        <is>
          <t>Mr. Iqbal Hossain</t>
        </is>
      </c>
      <c r="D839" s="11" t="inlineStr">
        <is>
          <t>Dhaka GEN-A-2</t>
        </is>
      </c>
      <c r="E839" s="11" t="inlineStr">
        <is>
          <t>Mr. Md. Arif Sarkar</t>
        </is>
      </c>
      <c r="F839" s="10" t="n">
        <v>10579</v>
      </c>
      <c r="G839" s="11" t="inlineStr">
        <is>
          <t>BIRDEM-2</t>
        </is>
      </c>
      <c r="H839" s="10" t="n">
        <v>6279</v>
      </c>
      <c r="I839" s="11" t="inlineStr">
        <is>
          <t>Mr. Sandip Bosu Ovi</t>
        </is>
      </c>
      <c r="J839" s="10">
        <f>IF(K839&gt;0, "Completed", "Pending")</f>
        <v/>
      </c>
      <c r="K839" s="10">
        <f>COUNTIF('Survey Responses'!F:F, F839)</f>
        <v/>
      </c>
    </row>
    <row r="840">
      <c r="A840" s="10" t="n">
        <v>839</v>
      </c>
      <c r="B840" s="11" t="inlineStr">
        <is>
          <t>Dhaka-B (GEN-A)</t>
        </is>
      </c>
      <c r="C840" s="11" t="inlineStr">
        <is>
          <t>Mr. Iqbal Hossain</t>
        </is>
      </c>
      <c r="D840" s="11" t="inlineStr">
        <is>
          <t>Dhaka GEN-A-2</t>
        </is>
      </c>
      <c r="E840" s="11" t="inlineStr">
        <is>
          <t>Mr. Md. Arif Sarkar</t>
        </is>
      </c>
      <c r="F840" s="10" t="n">
        <v>10581</v>
      </c>
      <c r="G840" s="11" t="inlineStr">
        <is>
          <t>BIRDEM-Eskaton</t>
        </is>
      </c>
      <c r="H840" s="10" t="n">
        <v>2746</v>
      </c>
      <c r="I840" s="11" t="inlineStr">
        <is>
          <t>Pritom Biswas</t>
        </is>
      </c>
      <c r="J840" s="10">
        <f>IF(K840&gt;0, "Completed", "Pending")</f>
        <v/>
      </c>
      <c r="K840" s="10">
        <f>COUNTIF('Survey Responses'!F:F, F840)</f>
        <v/>
      </c>
    </row>
    <row r="841">
      <c r="A841" s="10" t="n">
        <v>840</v>
      </c>
      <c r="B841" s="11" t="inlineStr">
        <is>
          <t>Dhaka-B (GEN-A)</t>
        </is>
      </c>
      <c r="C841" s="11" t="inlineStr">
        <is>
          <t>Mr. Iqbal Hossain</t>
        </is>
      </c>
      <c r="D841" s="11" t="inlineStr">
        <is>
          <t>Dhaka GEN-A-2</t>
        </is>
      </c>
      <c r="E841" s="11" t="inlineStr">
        <is>
          <t>Mr. Md. Arif Sarkar</t>
        </is>
      </c>
      <c r="F841" s="10" t="n">
        <v>10576</v>
      </c>
      <c r="G841" s="11" t="inlineStr">
        <is>
          <t>BIRDEM-Mogbazar-1</t>
        </is>
      </c>
      <c r="H841" s="10" t="n">
        <v>3083</v>
      </c>
      <c r="I841" s="11" t="inlineStr">
        <is>
          <t>Masud Rana</t>
        </is>
      </c>
      <c r="J841" s="10">
        <f>IF(K841&gt;0, "Completed", "Pending")</f>
        <v/>
      </c>
      <c r="K841" s="10">
        <f>COUNTIF('Survey Responses'!F:F, F841)</f>
        <v/>
      </c>
    </row>
    <row r="842">
      <c r="A842" s="10" t="n">
        <v>841</v>
      </c>
      <c r="B842" s="11" t="inlineStr">
        <is>
          <t>Dhaka-B (GEN-A)</t>
        </is>
      </c>
      <c r="C842" s="11" t="inlineStr">
        <is>
          <t>Mr. Iqbal Hossain</t>
        </is>
      </c>
      <c r="D842" s="11" t="inlineStr">
        <is>
          <t>Dhaka GEN-A-2</t>
        </is>
      </c>
      <c r="E842" s="11" t="inlineStr">
        <is>
          <t>Mr. Md. Arif Sarkar</t>
        </is>
      </c>
      <c r="F842" s="10" t="n">
        <v>12535</v>
      </c>
      <c r="G842" s="11" t="inlineStr">
        <is>
          <t>BIRDEM-Mogbazar-2</t>
        </is>
      </c>
      <c r="H842" s="10" t="n">
        <v>885</v>
      </c>
      <c r="I842" s="11" t="inlineStr">
        <is>
          <t>Gaus Ahmed Shorif</t>
        </is>
      </c>
      <c r="J842" s="10">
        <f>IF(K842&gt;0, "Completed", "Pending")</f>
        <v/>
      </c>
      <c r="K842" s="10">
        <f>COUNTIF('Survey Responses'!F:F, F842)</f>
        <v/>
      </c>
    </row>
    <row r="843">
      <c r="A843" s="10" t="n">
        <v>842</v>
      </c>
      <c r="B843" s="11" t="inlineStr">
        <is>
          <t>Dhaka-B (GEN-A)</t>
        </is>
      </c>
      <c r="C843" s="11" t="inlineStr">
        <is>
          <t>Mr. Iqbal Hossain</t>
        </is>
      </c>
      <c r="D843" s="11" t="inlineStr">
        <is>
          <t>Dhaka GEN-A-2</t>
        </is>
      </c>
      <c r="E843" s="11" t="inlineStr">
        <is>
          <t>Mr. Md. Arif Sarkar</t>
        </is>
      </c>
      <c r="F843" s="10" t="n">
        <v>10582</v>
      </c>
      <c r="G843" s="11" t="inlineStr">
        <is>
          <t>Holy Family-Siddheswari</t>
        </is>
      </c>
      <c r="H843" s="10" t="n">
        <v>9050</v>
      </c>
      <c r="I843" s="11" t="inlineStr">
        <is>
          <t>Mr. Md. Asadul Islam</t>
        </is>
      </c>
      <c r="J843" s="10">
        <f>IF(K843&gt;0, "Completed", "Pending")</f>
        <v/>
      </c>
      <c r="K843" s="10">
        <f>COUNTIF('Survey Responses'!F:F, F843)</f>
        <v/>
      </c>
    </row>
    <row r="844">
      <c r="A844" s="10" t="n">
        <v>843</v>
      </c>
      <c r="B844" s="11" t="inlineStr">
        <is>
          <t>Dhaka-B (GEN-A)</t>
        </is>
      </c>
      <c r="C844" s="11" t="inlineStr">
        <is>
          <t>Mr. Iqbal Hossain</t>
        </is>
      </c>
      <c r="D844" s="11" t="inlineStr">
        <is>
          <t>Dhaka GEN-A-5</t>
        </is>
      </c>
      <c r="E844" s="11" t="inlineStr">
        <is>
          <t>Mr. Kamruzzaman</t>
        </is>
      </c>
      <c r="F844" s="10" t="n">
        <v>10084</v>
      </c>
      <c r="G844" s="11" t="inlineStr">
        <is>
          <t>BSMMU-1</t>
        </is>
      </c>
      <c r="H844" s="10" t="n">
        <v>3128</v>
      </c>
      <c r="I844" s="11" t="inlineStr">
        <is>
          <t>Md. Masum Mia</t>
        </is>
      </c>
      <c r="J844" s="10">
        <f>IF(K844&gt;0, "Completed", "Pending")</f>
        <v/>
      </c>
      <c r="K844" s="10">
        <f>COUNTIF('Survey Responses'!F:F, F844)</f>
        <v/>
      </c>
    </row>
    <row r="845">
      <c r="A845" s="10" t="n">
        <v>844</v>
      </c>
      <c r="B845" s="11" t="inlineStr">
        <is>
          <t>Dhaka-B (GEN-A)</t>
        </is>
      </c>
      <c r="C845" s="11" t="inlineStr">
        <is>
          <t>Mr. Iqbal Hossain</t>
        </is>
      </c>
      <c r="D845" s="11" t="inlineStr">
        <is>
          <t>Dhaka GEN-A-5</t>
        </is>
      </c>
      <c r="E845" s="11" t="inlineStr">
        <is>
          <t>Mr. Kamruzzaman</t>
        </is>
      </c>
      <c r="F845" s="10" t="n">
        <v>10085</v>
      </c>
      <c r="G845" s="11" t="inlineStr">
        <is>
          <t>BSMMU-3</t>
        </is>
      </c>
      <c r="H845" s="10" t="n">
        <v>2871</v>
      </c>
      <c r="I845" s="11" t="inlineStr">
        <is>
          <t>Md. Azadunnabi Sarkar</t>
        </is>
      </c>
      <c r="J845" s="10">
        <f>IF(K845&gt;0, "Completed", "Pending")</f>
        <v/>
      </c>
      <c r="K845" s="10">
        <f>COUNTIF('Survey Responses'!F:F, F845)</f>
        <v/>
      </c>
    </row>
    <row r="846">
      <c r="A846" s="10" t="n">
        <v>845</v>
      </c>
      <c r="B846" s="11" t="inlineStr">
        <is>
          <t>Dhaka-B (GEN-A)</t>
        </is>
      </c>
      <c r="C846" s="11" t="inlineStr">
        <is>
          <t>Mr. Iqbal Hossain</t>
        </is>
      </c>
      <c r="D846" s="11" t="inlineStr">
        <is>
          <t>Dhaka GEN-A-5</t>
        </is>
      </c>
      <c r="E846" s="11" t="inlineStr">
        <is>
          <t>Mr. Kamruzzaman</t>
        </is>
      </c>
      <c r="F846" s="10" t="n">
        <v>10078</v>
      </c>
      <c r="G846" s="11" t="inlineStr">
        <is>
          <t>BSMMU-Lab Aid-1</t>
        </is>
      </c>
      <c r="H846" s="10" t="n">
        <v>5381</v>
      </c>
      <c r="I846" s="11" t="inlineStr">
        <is>
          <t>Md. Al-Amin Mahmud</t>
        </is>
      </c>
      <c r="J846" s="10">
        <f>IF(K846&gt;0, "Completed", "Pending")</f>
        <v/>
      </c>
      <c r="K846" s="10">
        <f>COUNTIF('Survey Responses'!F:F, F846)</f>
        <v/>
      </c>
    </row>
    <row r="847">
      <c r="A847" s="10" t="n">
        <v>846</v>
      </c>
      <c r="B847" s="11" t="inlineStr">
        <is>
          <t>Dhaka-B (GEN-A)</t>
        </is>
      </c>
      <c r="C847" s="11" t="inlineStr">
        <is>
          <t>Mr. Iqbal Hossain</t>
        </is>
      </c>
      <c r="D847" s="11" t="inlineStr">
        <is>
          <t>Dhaka GEN-A-5</t>
        </is>
      </c>
      <c r="E847" s="11" t="inlineStr">
        <is>
          <t>Mr. Kamruzzaman</t>
        </is>
      </c>
      <c r="F847" s="10" t="n">
        <v>10079</v>
      </c>
      <c r="G847" s="11" t="inlineStr">
        <is>
          <t>BSMMU-Lab Aid-2</t>
        </is>
      </c>
      <c r="H847" s="10" t="n">
        <v>9051</v>
      </c>
      <c r="I847" s="11" t="inlineStr">
        <is>
          <t>Mr. Md. Shahinoor Islam</t>
        </is>
      </c>
      <c r="J847" s="10">
        <f>IF(K847&gt;0, "Completed", "Pending")</f>
        <v/>
      </c>
      <c r="K847" s="10">
        <f>COUNTIF('Survey Responses'!F:F, F847)</f>
        <v/>
      </c>
    </row>
    <row r="848">
      <c r="A848" s="10" t="n">
        <v>847</v>
      </c>
      <c r="B848" s="11" t="inlineStr">
        <is>
          <t>Dhaka-B (GEN-A)</t>
        </is>
      </c>
      <c r="C848" s="11" t="inlineStr">
        <is>
          <t>Mr. Iqbal Hossain</t>
        </is>
      </c>
      <c r="D848" s="11" t="inlineStr">
        <is>
          <t>Dhaka GEN-A-5</t>
        </is>
      </c>
      <c r="E848" s="11" t="inlineStr">
        <is>
          <t>Mr. Kamruzzaman</t>
        </is>
      </c>
      <c r="F848" s="10" t="n">
        <v>10080</v>
      </c>
      <c r="G848" s="11" t="inlineStr">
        <is>
          <t>BSMMU-Lab Aid-3</t>
        </is>
      </c>
      <c r="H848" s="10" t="n">
        <v>1912</v>
      </c>
      <c r="I848" s="11" t="inlineStr">
        <is>
          <t>Md. Shamim Iqbal</t>
        </is>
      </c>
      <c r="J848" s="10">
        <f>IF(K848&gt;0, "Completed", "Pending")</f>
        <v/>
      </c>
      <c r="K848" s="10">
        <f>COUNTIF('Survey Responses'!F:F, F848)</f>
        <v/>
      </c>
    </row>
    <row r="849">
      <c r="A849" s="10" t="n">
        <v>848</v>
      </c>
      <c r="B849" s="11" t="inlineStr">
        <is>
          <t>Dhaka-B (GEN-A)</t>
        </is>
      </c>
      <c r="C849" s="11" t="inlineStr">
        <is>
          <t>Mr. Iqbal Hossain</t>
        </is>
      </c>
      <c r="D849" s="11" t="inlineStr">
        <is>
          <t>Dhaka GEN-A-5</t>
        </is>
      </c>
      <c r="E849" s="11" t="inlineStr">
        <is>
          <t>Mr. Kamruzzaman</t>
        </is>
      </c>
      <c r="F849" s="10" t="n">
        <v>10082</v>
      </c>
      <c r="G849" s="11" t="inlineStr">
        <is>
          <t>BSMMU-Lab Aid-4</t>
        </is>
      </c>
      <c r="H849" s="10" t="n">
        <v>6448</v>
      </c>
      <c r="I849" s="11" t="inlineStr">
        <is>
          <t>Mr. Md. Shakhawat Hossain</t>
        </is>
      </c>
      <c r="J849" s="10">
        <f>IF(K849&gt;0, "Completed", "Pending")</f>
        <v/>
      </c>
      <c r="K849" s="10">
        <f>COUNTIF('Survey Responses'!F:F, F849)</f>
        <v/>
      </c>
    </row>
    <row r="850">
      <c r="A850" s="10" t="n">
        <v>849</v>
      </c>
      <c r="B850" s="11" t="inlineStr">
        <is>
          <t>Dhaka-B (GEN-A)</t>
        </is>
      </c>
      <c r="C850" s="11" t="inlineStr">
        <is>
          <t>Mr. Iqbal Hossain</t>
        </is>
      </c>
      <c r="D850" s="11" t="inlineStr">
        <is>
          <t>Dhaka GEN-A-5</t>
        </is>
      </c>
      <c r="E850" s="11" t="inlineStr">
        <is>
          <t>Mr. Kamruzzaman</t>
        </is>
      </c>
      <c r="F850" s="10" t="n">
        <v>10081</v>
      </c>
      <c r="G850" s="11" t="inlineStr">
        <is>
          <t>BSMMU-Lab Aid-5</t>
        </is>
      </c>
      <c r="H850" s="10" t="n">
        <v>3007</v>
      </c>
      <c r="I850" s="11" t="inlineStr">
        <is>
          <t>Hasib Rayhan Emu</t>
        </is>
      </c>
      <c r="J850" s="10">
        <f>IF(K850&gt;0, "Completed", "Pending")</f>
        <v/>
      </c>
      <c r="K850" s="10">
        <f>COUNTIF('Survey Responses'!F:F, F850)</f>
        <v/>
      </c>
    </row>
    <row r="851">
      <c r="A851" s="10" t="n">
        <v>850</v>
      </c>
      <c r="B851" s="11" t="inlineStr">
        <is>
          <t>Dhaka-B (GEN-A)</t>
        </is>
      </c>
      <c r="C851" s="11" t="inlineStr">
        <is>
          <t>Mr. Iqbal Hossain</t>
        </is>
      </c>
      <c r="D851" s="11" t="inlineStr">
        <is>
          <t>Dhaka GEN-A-5</t>
        </is>
      </c>
      <c r="E851" s="11" t="inlineStr">
        <is>
          <t>Mr. Kamruzzaman</t>
        </is>
      </c>
      <c r="F851" s="10" t="n">
        <v>10083</v>
      </c>
      <c r="G851" s="11" t="inlineStr">
        <is>
          <t>BSMMU-Lab Aid-6</t>
        </is>
      </c>
      <c r="H851" s="10" t="n">
        <v>2876</v>
      </c>
      <c r="I851" s="11" t="inlineStr">
        <is>
          <t>Md. Nahidul Haque</t>
        </is>
      </c>
      <c r="J851" s="10">
        <f>IF(K851&gt;0, "Completed", "Pending")</f>
        <v/>
      </c>
      <c r="K851" s="10">
        <f>COUNTIF('Survey Responses'!F:F, F851)</f>
        <v/>
      </c>
    </row>
    <row r="852">
      <c r="A852" s="10" t="n">
        <v>851</v>
      </c>
      <c r="B852" s="11" t="inlineStr">
        <is>
          <t>Dhaka-B (GEN-A)</t>
        </is>
      </c>
      <c r="C852" s="11" t="inlineStr">
        <is>
          <t>Mr. Iqbal Hossain</t>
        </is>
      </c>
      <c r="D852" s="11" t="inlineStr">
        <is>
          <t>Munshigonj GEN-A-1</t>
        </is>
      </c>
      <c r="E852" s="11" t="inlineStr">
        <is>
          <t>Mr. Md. Harun or Rashid</t>
        </is>
      </c>
      <c r="F852" s="10" t="n">
        <v>12906</v>
      </c>
      <c r="G852" s="11" t="inlineStr">
        <is>
          <t>Baligaon-1</t>
        </is>
      </c>
      <c r="H852" s="10" t="n">
        <v>5063</v>
      </c>
      <c r="I852" s="11" t="inlineStr">
        <is>
          <t>Mr. Md. Masud Rana</t>
        </is>
      </c>
      <c r="J852" s="10">
        <f>IF(K852&gt;0, "Completed", "Pending")</f>
        <v/>
      </c>
      <c r="K852" s="10">
        <f>COUNTIF('Survey Responses'!F:F, F852)</f>
        <v/>
      </c>
    </row>
    <row r="853">
      <c r="A853" s="10" t="n">
        <v>852</v>
      </c>
      <c r="B853" s="11" t="inlineStr">
        <is>
          <t>Dhaka-B (GEN-A)</t>
        </is>
      </c>
      <c r="C853" s="11" t="inlineStr">
        <is>
          <t>Mr. Iqbal Hossain</t>
        </is>
      </c>
      <c r="D853" s="11" t="inlineStr">
        <is>
          <t>Munshigonj GEN-A-1</t>
        </is>
      </c>
      <c r="E853" s="11" t="inlineStr">
        <is>
          <t>Mr. Md. Harun or Rashid</t>
        </is>
      </c>
      <c r="F853" s="10" t="n">
        <v>10528</v>
      </c>
      <c r="G853" s="11" t="inlineStr">
        <is>
          <t>Munshigonj-1</t>
        </is>
      </c>
      <c r="H853" s="10" t="n">
        <v>7634</v>
      </c>
      <c r="I853" s="11" t="inlineStr">
        <is>
          <t>Mr. Naimul Islam</t>
        </is>
      </c>
      <c r="J853" s="10">
        <f>IF(K853&gt;0, "Completed", "Pending")</f>
        <v/>
      </c>
      <c r="K853" s="10">
        <f>COUNTIF('Survey Responses'!F:F, F853)</f>
        <v/>
      </c>
    </row>
    <row r="854">
      <c r="A854" s="10" t="n">
        <v>853</v>
      </c>
      <c r="B854" s="11" t="inlineStr">
        <is>
          <t>Dhaka-B (GEN-A)</t>
        </is>
      </c>
      <c r="C854" s="11" t="inlineStr">
        <is>
          <t>Mr. Iqbal Hossain</t>
        </is>
      </c>
      <c r="D854" s="11" t="inlineStr">
        <is>
          <t>Munshigonj GEN-A-1</t>
        </is>
      </c>
      <c r="E854" s="11" t="inlineStr">
        <is>
          <t>Mr. Md. Harun or Rashid</t>
        </is>
      </c>
      <c r="F854" s="10" t="n">
        <v>10525</v>
      </c>
      <c r="G854" s="11" t="inlineStr">
        <is>
          <t>Munshigonj-2</t>
        </is>
      </c>
      <c r="H854" s="10" t="n">
        <v>3073</v>
      </c>
      <c r="I854" s="11" t="inlineStr">
        <is>
          <t>Shanta Kumar Chakrabati</t>
        </is>
      </c>
      <c r="J854" s="10">
        <f>IF(K854&gt;0, "Completed", "Pending")</f>
        <v/>
      </c>
      <c r="K854" s="10">
        <f>COUNTIF('Survey Responses'!F:F, F854)</f>
        <v/>
      </c>
    </row>
    <row r="855">
      <c r="A855" s="10" t="n">
        <v>854</v>
      </c>
      <c r="B855" s="11" t="inlineStr">
        <is>
          <t>Dhaka-B (GEN-A)</t>
        </is>
      </c>
      <c r="C855" s="11" t="inlineStr">
        <is>
          <t>Mr. Iqbal Hossain</t>
        </is>
      </c>
      <c r="D855" s="11" t="inlineStr">
        <is>
          <t>Munshigonj GEN-A-1</t>
        </is>
      </c>
      <c r="E855" s="11" t="inlineStr">
        <is>
          <t>Mr. Md. Harun or Rashid</t>
        </is>
      </c>
      <c r="F855" s="10" t="n">
        <v>10527</v>
      </c>
      <c r="G855" s="11" t="inlineStr">
        <is>
          <t>Munshigonj-3</t>
        </is>
      </c>
      <c r="H855" s="10" t="n">
        <v>5029</v>
      </c>
      <c r="I855" s="11" t="inlineStr">
        <is>
          <t>Mr. Sujan Kumar Roy</t>
        </is>
      </c>
      <c r="J855" s="10">
        <f>IF(K855&gt;0, "Completed", "Pending")</f>
        <v/>
      </c>
      <c r="K855" s="10">
        <f>COUNTIF('Survey Responses'!F:F, F855)</f>
        <v/>
      </c>
    </row>
    <row r="856">
      <c r="A856" s="10" t="n">
        <v>855</v>
      </c>
      <c r="B856" s="11" t="inlineStr">
        <is>
          <t>Dhaka-B (GEN-A)</t>
        </is>
      </c>
      <c r="C856" s="11" t="inlineStr">
        <is>
          <t>Mr. Iqbal Hossain</t>
        </is>
      </c>
      <c r="D856" s="11" t="inlineStr">
        <is>
          <t>Munshigonj GEN-A-1</t>
        </is>
      </c>
      <c r="E856" s="11" t="inlineStr">
        <is>
          <t>Mr. Md. Harun or Rashid</t>
        </is>
      </c>
      <c r="F856" s="10" t="n">
        <v>12404</v>
      </c>
      <c r="G856" s="11" t="inlineStr">
        <is>
          <t>Munshigonj-4</t>
        </is>
      </c>
      <c r="H856" s="10" t="n">
        <v>3807</v>
      </c>
      <c r="I856" s="11" t="inlineStr">
        <is>
          <t>Mr. Md. Imran Hossain</t>
        </is>
      </c>
      <c r="J856" s="10">
        <f>IF(K856&gt;0, "Completed", "Pending")</f>
        <v/>
      </c>
      <c r="K856" s="10">
        <f>COUNTIF('Survey Responses'!F:F, F856)</f>
        <v/>
      </c>
    </row>
    <row r="857">
      <c r="A857" s="10" t="n">
        <v>856</v>
      </c>
      <c r="B857" s="11" t="inlineStr">
        <is>
          <t>Dhaka-B (GEN-A)</t>
        </is>
      </c>
      <c r="C857" s="11" t="inlineStr">
        <is>
          <t>Mr. Iqbal Hossain</t>
        </is>
      </c>
      <c r="D857" s="11" t="inlineStr">
        <is>
          <t>Munshigonj GEN-A-1</t>
        </is>
      </c>
      <c r="E857" s="11" t="inlineStr">
        <is>
          <t>Mr. Md. Harun or Rashid</t>
        </is>
      </c>
      <c r="F857" s="10" t="n">
        <v>14073</v>
      </c>
      <c r="G857" s="11" t="inlineStr">
        <is>
          <t>Munshigonj-5</t>
        </is>
      </c>
      <c r="H857" s="10" t="n">
        <v>3616</v>
      </c>
      <c r="I857" s="11" t="inlineStr">
        <is>
          <t>Mr. Rathindro Nath Ray</t>
        </is>
      </c>
      <c r="J857" s="10">
        <f>IF(K857&gt;0, "Completed", "Pending")</f>
        <v/>
      </c>
      <c r="K857" s="10">
        <f>COUNTIF('Survey Responses'!F:F, F857)</f>
        <v/>
      </c>
    </row>
    <row r="858">
      <c r="A858" s="10" t="n">
        <v>857</v>
      </c>
      <c r="B858" s="11" t="inlineStr">
        <is>
          <t>Dhaka-B (GEN-A)</t>
        </is>
      </c>
      <c r="C858" s="11" t="inlineStr">
        <is>
          <t>Mr. Iqbal Hossain</t>
        </is>
      </c>
      <c r="D858" s="11" t="inlineStr">
        <is>
          <t>Munshigonj GEN-A-1</t>
        </is>
      </c>
      <c r="E858" s="11" t="inlineStr">
        <is>
          <t>Mr. Md. Harun or Rashid</t>
        </is>
      </c>
      <c r="F858" s="10" t="n">
        <v>10526</v>
      </c>
      <c r="G858" s="11" t="inlineStr">
        <is>
          <t>Tongibari-1</t>
        </is>
      </c>
      <c r="H858" s="10" t="n">
        <v>5028</v>
      </c>
      <c r="I858" s="11" t="inlineStr">
        <is>
          <t>Mr. Md. Abdullah</t>
        </is>
      </c>
      <c r="J858" s="10">
        <f>IF(K858&gt;0, "Completed", "Pending")</f>
        <v/>
      </c>
      <c r="K858" s="10">
        <f>COUNTIF('Survey Responses'!F:F, F858)</f>
        <v/>
      </c>
    </row>
    <row r="859">
      <c r="A859" s="10" t="n">
        <v>858</v>
      </c>
      <c r="B859" s="11" t="inlineStr">
        <is>
          <t>Dhaka-B (GEN-A)</t>
        </is>
      </c>
      <c r="C859" s="11" t="inlineStr">
        <is>
          <t>Mr. Iqbal Hossain</t>
        </is>
      </c>
      <c r="D859" s="11" t="inlineStr">
        <is>
          <t>Munshigonj GEN-A-1</t>
        </is>
      </c>
      <c r="E859" s="11" t="inlineStr">
        <is>
          <t>Mr. Md. Harun or Rashid</t>
        </is>
      </c>
      <c r="F859" s="10" t="n">
        <v>10530</v>
      </c>
      <c r="G859" s="11" t="inlineStr">
        <is>
          <t>Tongibari-2</t>
        </is>
      </c>
      <c r="H859" s="10" t="n">
        <v>7146</v>
      </c>
      <c r="I859" s="11" t="inlineStr">
        <is>
          <t>Mr. Md. Mehedi Hasan</t>
        </is>
      </c>
      <c r="J859" s="10">
        <f>IF(K859&gt;0, "Completed", "Pending")</f>
        <v/>
      </c>
      <c r="K859" s="10">
        <f>COUNTIF('Survey Responses'!F:F, F859)</f>
        <v/>
      </c>
    </row>
    <row r="860">
      <c r="A860" s="10" t="n">
        <v>859</v>
      </c>
      <c r="B860" s="11" t="inlineStr">
        <is>
          <t>Dhaka-C (GEN-A)</t>
        </is>
      </c>
      <c r="C860" s="11" t="inlineStr">
        <is>
          <t>Mr. Utpal Kumar Sen</t>
        </is>
      </c>
      <c r="D860" s="11" t="inlineStr">
        <is>
          <t>Chattogram Road GEN-A-1</t>
        </is>
      </c>
      <c r="E860" s="11" t="inlineStr">
        <is>
          <t>Mr. Monoranjan Dhar</t>
        </is>
      </c>
      <c r="F860" s="10" t="n">
        <v>14606</v>
      </c>
      <c r="G860" s="11" t="inlineStr">
        <is>
          <t>Chattogram Road-10</t>
        </is>
      </c>
      <c r="H860" s="10" t="n">
        <v>7686</v>
      </c>
      <c r="I860" s="11" t="inlineStr">
        <is>
          <t>Mr. Bilash Kumer Dash</t>
        </is>
      </c>
      <c r="J860" s="10">
        <f>IF(K860&gt;0, "Completed", "Pending")</f>
        <v/>
      </c>
      <c r="K860" s="10">
        <f>COUNTIF('Survey Responses'!F:F, F860)</f>
        <v/>
      </c>
    </row>
    <row r="861">
      <c r="A861" s="10" t="n">
        <v>860</v>
      </c>
      <c r="B861" s="11" t="inlineStr">
        <is>
          <t>Dhaka-C (GEN-A)</t>
        </is>
      </c>
      <c r="C861" s="11" t="inlineStr">
        <is>
          <t>Mr. Utpal Kumar Sen</t>
        </is>
      </c>
      <c r="D861" s="11" t="inlineStr">
        <is>
          <t>Chattogram Road GEN-A-1</t>
        </is>
      </c>
      <c r="E861" s="11" t="inlineStr">
        <is>
          <t>Mr. Monoranjan Dhar</t>
        </is>
      </c>
      <c r="F861" s="10" t="n">
        <v>10597</v>
      </c>
      <c r="G861" s="11" t="inlineStr">
        <is>
          <t>Chattogram Road-2</t>
        </is>
      </c>
      <c r="H861" s="10" t="n">
        <v>2777</v>
      </c>
      <c r="I861" s="11" t="inlineStr">
        <is>
          <t>Md. Sahabuddin</t>
        </is>
      </c>
      <c r="J861" s="10">
        <f>IF(K861&gt;0, "Completed", "Pending")</f>
        <v/>
      </c>
      <c r="K861" s="10">
        <f>COUNTIF('Survey Responses'!F:F, F861)</f>
        <v/>
      </c>
    </row>
    <row r="862">
      <c r="A862" s="10" t="n">
        <v>861</v>
      </c>
      <c r="B862" s="11" t="inlineStr">
        <is>
          <t>Dhaka-C (GEN-A)</t>
        </is>
      </c>
      <c r="C862" s="11" t="inlineStr">
        <is>
          <t>Mr. Utpal Kumar Sen</t>
        </is>
      </c>
      <c r="D862" s="11" t="inlineStr">
        <is>
          <t>Chattogram Road GEN-A-1</t>
        </is>
      </c>
      <c r="E862" s="11" t="inlineStr">
        <is>
          <t>Mr. Monoranjan Dhar</t>
        </is>
      </c>
      <c r="F862" s="10" t="n">
        <v>10600</v>
      </c>
      <c r="G862" s="11" t="inlineStr">
        <is>
          <t>Chattogram Road-4</t>
        </is>
      </c>
      <c r="H862" s="10" t="n">
        <v>3102</v>
      </c>
      <c r="I862" s="11" t="inlineStr">
        <is>
          <t>Md. Rotan Ali</t>
        </is>
      </c>
      <c r="J862" s="10">
        <f>IF(K862&gt;0, "Completed", "Pending")</f>
        <v/>
      </c>
      <c r="K862" s="10">
        <f>COUNTIF('Survey Responses'!F:F, F862)</f>
        <v/>
      </c>
    </row>
    <row r="863">
      <c r="A863" s="10" t="n">
        <v>862</v>
      </c>
      <c r="B863" s="11" t="inlineStr">
        <is>
          <t>Dhaka-C (GEN-A)</t>
        </is>
      </c>
      <c r="C863" s="11" t="inlineStr">
        <is>
          <t>Mr. Utpal Kumar Sen</t>
        </is>
      </c>
      <c r="D863" s="11" t="inlineStr">
        <is>
          <t>Chattogram Road GEN-A-1</t>
        </is>
      </c>
      <c r="E863" s="11" t="inlineStr">
        <is>
          <t>Mr. Monoranjan Dhar</t>
        </is>
      </c>
      <c r="F863" s="10" t="n">
        <v>10601</v>
      </c>
      <c r="G863" s="11" t="inlineStr">
        <is>
          <t>Chattogram Road-5</t>
        </is>
      </c>
      <c r="H863" s="10" t="n">
        <v>5398</v>
      </c>
      <c r="I863" s="11" t="inlineStr">
        <is>
          <t>Md. Munzural Islam</t>
        </is>
      </c>
      <c r="J863" s="10">
        <f>IF(K863&gt;0, "Completed", "Pending")</f>
        <v/>
      </c>
      <c r="K863" s="10">
        <f>COUNTIF('Survey Responses'!F:F, F863)</f>
        <v/>
      </c>
    </row>
    <row r="864">
      <c r="A864" s="10" t="n">
        <v>863</v>
      </c>
      <c r="B864" s="11" t="inlineStr">
        <is>
          <t>Dhaka-C (GEN-A)</t>
        </is>
      </c>
      <c r="C864" s="11" t="inlineStr">
        <is>
          <t>Mr. Utpal Kumar Sen</t>
        </is>
      </c>
      <c r="D864" s="11" t="inlineStr">
        <is>
          <t>Chattogram Road GEN-A-1</t>
        </is>
      </c>
      <c r="E864" s="11" t="inlineStr">
        <is>
          <t>Mr. Monoranjan Dhar</t>
        </is>
      </c>
      <c r="F864" s="10" t="n">
        <v>12326</v>
      </c>
      <c r="G864" s="11" t="inlineStr">
        <is>
          <t>Chattogram Road-7</t>
        </is>
      </c>
      <c r="H864" s="10" t="n">
        <v>3709</v>
      </c>
      <c r="I864" s="11" t="inlineStr">
        <is>
          <t>Mr. Md. Sazib Mia Sarker</t>
        </is>
      </c>
      <c r="J864" s="10">
        <f>IF(K864&gt;0, "Completed", "Pending")</f>
        <v/>
      </c>
      <c r="K864" s="10">
        <f>COUNTIF('Survey Responses'!F:F, F864)</f>
        <v/>
      </c>
    </row>
    <row r="865">
      <c r="A865" s="10" t="n">
        <v>864</v>
      </c>
      <c r="B865" s="11" t="inlineStr">
        <is>
          <t>Dhaka-C (GEN-A)</t>
        </is>
      </c>
      <c r="C865" s="11" t="inlineStr">
        <is>
          <t>Mr. Utpal Kumar Sen</t>
        </is>
      </c>
      <c r="D865" s="11" t="inlineStr">
        <is>
          <t>Chattogram Road GEN-A-1</t>
        </is>
      </c>
      <c r="E865" s="11" t="inlineStr">
        <is>
          <t>Mr. Monoranjan Dhar</t>
        </is>
      </c>
      <c r="F865" s="10" t="n">
        <v>10602</v>
      </c>
      <c r="G865" s="11" t="inlineStr">
        <is>
          <t>Konapara-1</t>
        </is>
      </c>
      <c r="H865" s="10" t="n">
        <v>1106</v>
      </c>
      <c r="I865" s="11" t="inlineStr">
        <is>
          <t>Md. Raju Ahmed</t>
        </is>
      </c>
      <c r="J865" s="10">
        <f>IF(K865&gt;0, "Completed", "Pending")</f>
        <v/>
      </c>
      <c r="K865" s="10">
        <f>COUNTIF('Survey Responses'!F:F, F865)</f>
        <v/>
      </c>
    </row>
    <row r="866">
      <c r="A866" s="10" t="n">
        <v>865</v>
      </c>
      <c r="B866" s="11" t="inlineStr">
        <is>
          <t>Dhaka-C (GEN-A)</t>
        </is>
      </c>
      <c r="C866" s="11" t="inlineStr">
        <is>
          <t>Mr. Utpal Kumar Sen</t>
        </is>
      </c>
      <c r="D866" s="11" t="inlineStr">
        <is>
          <t>Chattogram Road GEN-A-1</t>
        </is>
      </c>
      <c r="E866" s="11" t="inlineStr">
        <is>
          <t>Mr. Monoranjan Dhar</t>
        </is>
      </c>
      <c r="F866" s="10" t="n">
        <v>10603</v>
      </c>
      <c r="G866" s="11" t="inlineStr">
        <is>
          <t>Konapara-2</t>
        </is>
      </c>
      <c r="H866" s="10" t="n">
        <v>6554</v>
      </c>
      <c r="I866" s="11" t="inlineStr">
        <is>
          <t>Mr. Md. Shahalam</t>
        </is>
      </c>
      <c r="J866" s="10">
        <f>IF(K866&gt;0, "Completed", "Pending")</f>
        <v/>
      </c>
      <c r="K866" s="10">
        <f>COUNTIF('Survey Responses'!F:F, F866)</f>
        <v/>
      </c>
    </row>
    <row r="867">
      <c r="A867" s="10" t="n">
        <v>866</v>
      </c>
      <c r="B867" s="11" t="inlineStr">
        <is>
          <t>Dhaka-C (GEN-A)</t>
        </is>
      </c>
      <c r="C867" s="11" t="inlineStr">
        <is>
          <t>Mr. Utpal Kumar Sen</t>
        </is>
      </c>
      <c r="D867" s="11" t="inlineStr">
        <is>
          <t>Dhaka GEN-A-10</t>
        </is>
      </c>
      <c r="E867" s="11" t="inlineStr">
        <is>
          <t>Mr. Md. Bayezid Al Hasan</t>
        </is>
      </c>
      <c r="F867" s="10" t="n">
        <v>10089</v>
      </c>
      <c r="G867" s="11" t="inlineStr">
        <is>
          <t>English Road</t>
        </is>
      </c>
      <c r="H867" s="10" t="n">
        <v>5601</v>
      </c>
      <c r="I867" s="11" t="inlineStr">
        <is>
          <t>Mr. Md. Nur Alam Sarker</t>
        </is>
      </c>
      <c r="J867" s="10">
        <f>IF(K867&gt;0, "Completed", "Pending")</f>
        <v/>
      </c>
      <c r="K867" s="10">
        <f>COUNTIF('Survey Responses'!F:F, F867)</f>
        <v/>
      </c>
    </row>
    <row r="868">
      <c r="A868" s="10" t="n">
        <v>867</v>
      </c>
      <c r="B868" s="11" t="inlineStr">
        <is>
          <t>Dhaka-C (GEN-A)</t>
        </is>
      </c>
      <c r="C868" s="11" t="inlineStr">
        <is>
          <t>Mr. Utpal Kumar Sen</t>
        </is>
      </c>
      <c r="D868" s="11" t="inlineStr">
        <is>
          <t>Dhaka GEN-A-10</t>
        </is>
      </c>
      <c r="E868" s="11" t="inlineStr">
        <is>
          <t>Mr. Md. Bayezid Al Hasan</t>
        </is>
      </c>
      <c r="F868" s="10" t="n">
        <v>10086</v>
      </c>
      <c r="G868" s="11" t="inlineStr">
        <is>
          <t xml:space="preserve">Mitford-1 </t>
        </is>
      </c>
      <c r="H868" s="10" t="n">
        <v>1344</v>
      </c>
      <c r="I868" s="11" t="inlineStr">
        <is>
          <t>Md. Saeduzzaman</t>
        </is>
      </c>
      <c r="J868" s="10">
        <f>IF(K868&gt;0, "Completed", "Pending")</f>
        <v/>
      </c>
      <c r="K868" s="10">
        <f>COUNTIF('Survey Responses'!F:F, F868)</f>
        <v/>
      </c>
    </row>
    <row r="869">
      <c r="A869" s="10" t="n">
        <v>868</v>
      </c>
      <c r="B869" s="11" t="inlineStr">
        <is>
          <t>Dhaka-C (GEN-A)</t>
        </is>
      </c>
      <c r="C869" s="11" t="inlineStr">
        <is>
          <t>Mr. Utpal Kumar Sen</t>
        </is>
      </c>
      <c r="D869" s="11" t="inlineStr">
        <is>
          <t>Dhaka GEN-A-10</t>
        </is>
      </c>
      <c r="E869" s="11" t="inlineStr">
        <is>
          <t>Mr. Md. Bayezid Al Hasan</t>
        </is>
      </c>
      <c r="F869" s="10" t="n">
        <v>10090</v>
      </c>
      <c r="G869" s="11" t="inlineStr">
        <is>
          <t>Mitford-2</t>
        </is>
      </c>
      <c r="H869" s="10" t="n">
        <v>5128</v>
      </c>
      <c r="I869" s="11" t="inlineStr">
        <is>
          <t>Mr. Abdullah Al Mamun</t>
        </is>
      </c>
      <c r="J869" s="10">
        <f>IF(K869&gt;0, "Completed", "Pending")</f>
        <v/>
      </c>
      <c r="K869" s="10">
        <f>COUNTIF('Survey Responses'!F:F, F869)</f>
        <v/>
      </c>
    </row>
    <row r="870">
      <c r="A870" s="10" t="n">
        <v>869</v>
      </c>
      <c r="B870" s="11" t="inlineStr">
        <is>
          <t>Dhaka-C (GEN-A)</t>
        </is>
      </c>
      <c r="C870" s="11" t="inlineStr">
        <is>
          <t>Mr. Utpal Kumar Sen</t>
        </is>
      </c>
      <c r="D870" s="11" t="inlineStr">
        <is>
          <t>Dhaka GEN-A-10</t>
        </is>
      </c>
      <c r="E870" s="11" t="inlineStr">
        <is>
          <t>Mr. Md. Bayezid Al Hasan</t>
        </is>
      </c>
      <c r="F870" s="10" t="n">
        <v>10092</v>
      </c>
      <c r="G870" s="11" t="inlineStr">
        <is>
          <t>Mitford-3</t>
        </is>
      </c>
      <c r="H870" s="10" t="n">
        <v>5022</v>
      </c>
      <c r="I870" s="11" t="inlineStr">
        <is>
          <t>Mr. Md. Kawsar Hamid</t>
        </is>
      </c>
      <c r="J870" s="10">
        <f>IF(K870&gt;0, "Completed", "Pending")</f>
        <v/>
      </c>
      <c r="K870" s="10">
        <f>COUNTIF('Survey Responses'!F:F, F870)</f>
        <v/>
      </c>
    </row>
    <row r="871">
      <c r="A871" s="10" t="n">
        <v>870</v>
      </c>
      <c r="B871" s="11" t="inlineStr">
        <is>
          <t>Dhaka-C (GEN-A)</t>
        </is>
      </c>
      <c r="C871" s="11" t="inlineStr">
        <is>
          <t>Mr. Utpal Kumar Sen</t>
        </is>
      </c>
      <c r="D871" s="11" t="inlineStr">
        <is>
          <t>Dhaka GEN-A-10</t>
        </is>
      </c>
      <c r="E871" s="11" t="inlineStr">
        <is>
          <t>Mr. Md. Bayezid Al Hasan</t>
        </is>
      </c>
      <c r="F871" s="10" t="n">
        <v>13183</v>
      </c>
      <c r="G871" s="11" t="inlineStr">
        <is>
          <t>Mitford-4</t>
        </is>
      </c>
      <c r="H871" s="10" t="n">
        <v>5791</v>
      </c>
      <c r="I871" s="11" t="inlineStr">
        <is>
          <t>Mr. Md. Mahmudul Hasan</t>
        </is>
      </c>
      <c r="J871" s="10">
        <f>IF(K871&gt;0, "Completed", "Pending")</f>
        <v/>
      </c>
      <c r="K871" s="10">
        <f>COUNTIF('Survey Responses'!F:F, F871)</f>
        <v/>
      </c>
    </row>
    <row r="872">
      <c r="A872" s="10" t="n">
        <v>871</v>
      </c>
      <c r="B872" s="11" t="inlineStr">
        <is>
          <t>Dhaka-C (GEN-A)</t>
        </is>
      </c>
      <c r="C872" s="11" t="inlineStr">
        <is>
          <t>Mr. Utpal Kumar Sen</t>
        </is>
      </c>
      <c r="D872" s="11" t="inlineStr">
        <is>
          <t>Dhaka GEN-A-10</t>
        </is>
      </c>
      <c r="E872" s="11" t="inlineStr">
        <is>
          <t>Mr. Md. Bayezid Al Hasan</t>
        </is>
      </c>
      <c r="F872" s="10" t="n">
        <v>10088</v>
      </c>
      <c r="G872" s="11" t="inlineStr">
        <is>
          <t>Sumana Hospital</t>
        </is>
      </c>
      <c r="H872" s="10" t="n">
        <v>3043</v>
      </c>
      <c r="I872" s="11" t="inlineStr">
        <is>
          <t>Koushik Ahmed</t>
        </is>
      </c>
      <c r="J872" s="10">
        <f>IF(K872&gt;0, "Completed", "Pending")</f>
        <v/>
      </c>
      <c r="K872" s="10">
        <f>COUNTIF('Survey Responses'!F:F, F872)</f>
        <v/>
      </c>
    </row>
    <row r="873">
      <c r="A873" s="10" t="n">
        <v>872</v>
      </c>
      <c r="B873" s="11" t="inlineStr">
        <is>
          <t>Dhaka-C (GEN-A)</t>
        </is>
      </c>
      <c r="C873" s="11" t="inlineStr">
        <is>
          <t>Mr. Utpal Kumar Sen</t>
        </is>
      </c>
      <c r="D873" s="11" t="inlineStr">
        <is>
          <t>Dhaka GEN-A-10</t>
        </is>
      </c>
      <c r="E873" s="11" t="inlineStr">
        <is>
          <t>Mr. Md. Bayezid Al Hasan</t>
        </is>
      </c>
      <c r="F873" s="10" t="n">
        <v>10087</v>
      </c>
      <c r="G873" s="11" t="inlineStr">
        <is>
          <t>Sutrapur</t>
        </is>
      </c>
      <c r="H873" s="10" t="n">
        <v>886</v>
      </c>
      <c r="I873" s="11" t="inlineStr">
        <is>
          <t>Md. Sadekul Islam Mehedi</t>
        </is>
      </c>
      <c r="J873" s="10">
        <f>IF(K873&gt;0, "Completed", "Pending")</f>
        <v/>
      </c>
      <c r="K873" s="10">
        <f>COUNTIF('Survey Responses'!F:F, F873)</f>
        <v/>
      </c>
    </row>
    <row r="874">
      <c r="A874" s="10" t="n">
        <v>873</v>
      </c>
      <c r="B874" s="11" t="inlineStr">
        <is>
          <t>Dhaka-C (GEN-A)</t>
        </is>
      </c>
      <c r="C874" s="11" t="inlineStr">
        <is>
          <t>Mr. Utpal Kumar Sen</t>
        </is>
      </c>
      <c r="D874" s="11" t="inlineStr">
        <is>
          <t>Dhaka GEN-A-10</t>
        </is>
      </c>
      <c r="E874" s="11" t="inlineStr">
        <is>
          <t>Mr. Md. Bayezid Al Hasan</t>
        </is>
      </c>
      <c r="F874" s="10" t="n">
        <v>10091</v>
      </c>
      <c r="G874" s="11" t="inlineStr">
        <is>
          <t>Wari-Tipu Sultan Road</t>
        </is>
      </c>
      <c r="H874" s="10" t="n">
        <v>1674</v>
      </c>
      <c r="I874" s="11" t="inlineStr">
        <is>
          <t>Tapos Nandi</t>
        </is>
      </c>
      <c r="J874" s="10">
        <f>IF(K874&gt;0, "Completed", "Pending")</f>
        <v/>
      </c>
      <c r="K874" s="10">
        <f>COUNTIF('Survey Responses'!F:F, F874)</f>
        <v/>
      </c>
    </row>
    <row r="875">
      <c r="A875" s="10" t="n">
        <v>874</v>
      </c>
      <c r="B875" s="11" t="inlineStr">
        <is>
          <t>Dhaka-C (GEN-A)</t>
        </is>
      </c>
      <c r="C875" s="11" t="inlineStr">
        <is>
          <t>Mr. Utpal Kumar Sen</t>
        </is>
      </c>
      <c r="D875" s="11" t="inlineStr">
        <is>
          <t>Dhaka GEN-A-18</t>
        </is>
      </c>
      <c r="E875" s="11" t="inlineStr">
        <is>
          <t>Zahidul Islam Shapon</t>
        </is>
      </c>
      <c r="F875" s="10" t="n">
        <v>13298</v>
      </c>
      <c r="G875" s="11" t="inlineStr">
        <is>
          <t>ICMH-Ibn Sina</t>
        </is>
      </c>
      <c r="H875" s="10" t="n">
        <v>5913</v>
      </c>
      <c r="I875" s="11" t="inlineStr">
        <is>
          <t>Mr. S.M. Sohrab Hossain</t>
        </is>
      </c>
      <c r="J875" s="10">
        <f>IF(K875&gt;0, "Completed", "Pending")</f>
        <v/>
      </c>
      <c r="K875" s="10">
        <f>COUNTIF('Survey Responses'!F:F, F875)</f>
        <v/>
      </c>
    </row>
    <row r="876">
      <c r="A876" s="10" t="n">
        <v>875</v>
      </c>
      <c r="B876" s="11" t="inlineStr">
        <is>
          <t>Dhaka-C (GEN-A)</t>
        </is>
      </c>
      <c r="C876" s="11" t="inlineStr">
        <is>
          <t>Mr. Utpal Kumar Sen</t>
        </is>
      </c>
      <c r="D876" s="11" t="inlineStr">
        <is>
          <t>Dhaka GEN-A-18</t>
        </is>
      </c>
      <c r="E876" s="11" t="inlineStr">
        <is>
          <t>Zahidul Islam Shapon</t>
        </is>
      </c>
      <c r="F876" s="10" t="n">
        <v>10611</v>
      </c>
      <c r="G876" s="11" t="inlineStr">
        <is>
          <t>ICMH-Rayerbag</t>
        </is>
      </c>
      <c r="H876" s="10" t="n">
        <v>2109</v>
      </c>
      <c r="I876" s="11" t="inlineStr">
        <is>
          <t>Md. Robiul Awal</t>
        </is>
      </c>
      <c r="J876" s="10">
        <f>IF(K876&gt;0, "Completed", "Pending")</f>
        <v/>
      </c>
      <c r="K876" s="10">
        <f>COUNTIF('Survey Responses'!F:F, F876)</f>
        <v/>
      </c>
    </row>
    <row r="877">
      <c r="A877" s="10" t="n">
        <v>876</v>
      </c>
      <c r="B877" s="11" t="inlineStr">
        <is>
          <t>Dhaka-C (GEN-A)</t>
        </is>
      </c>
      <c r="C877" s="11" t="inlineStr">
        <is>
          <t>Mr. Utpal Kumar Sen</t>
        </is>
      </c>
      <c r="D877" s="11" t="inlineStr">
        <is>
          <t>Dhaka GEN-A-18</t>
        </is>
      </c>
      <c r="E877" s="11" t="inlineStr">
        <is>
          <t>Zahidul Islam Shapon</t>
        </is>
      </c>
      <c r="F877" s="10" t="n">
        <v>10607</v>
      </c>
      <c r="G877" s="11" t="inlineStr">
        <is>
          <t>Jatrabari</t>
        </is>
      </c>
      <c r="H877" s="10" t="n">
        <v>3129</v>
      </c>
      <c r="I877" s="11" t="inlineStr">
        <is>
          <t>Md. Al-Amin</t>
        </is>
      </c>
      <c r="J877" s="10">
        <f>IF(K877&gt;0, "Completed", "Pending")</f>
        <v/>
      </c>
      <c r="K877" s="10">
        <f>COUNTIF('Survey Responses'!F:F, F877)</f>
        <v/>
      </c>
    </row>
    <row r="878">
      <c r="A878" s="10" t="n">
        <v>877</v>
      </c>
      <c r="B878" s="11" t="inlineStr">
        <is>
          <t>Dhaka-C (GEN-A)</t>
        </is>
      </c>
      <c r="C878" s="11" t="inlineStr">
        <is>
          <t>Mr. Utpal Kumar Sen</t>
        </is>
      </c>
      <c r="D878" s="11" t="inlineStr">
        <is>
          <t>Dhaka GEN-A-18</t>
        </is>
      </c>
      <c r="E878" s="11" t="inlineStr">
        <is>
          <t>Zahidul Islam Shapon</t>
        </is>
      </c>
      <c r="F878" s="10" t="n">
        <v>10608</v>
      </c>
      <c r="G878" s="11" t="inlineStr">
        <is>
          <t>Rayerbag</t>
        </is>
      </c>
      <c r="H878" s="10" t="n">
        <v>2814</v>
      </c>
      <c r="I878" s="11" t="inlineStr">
        <is>
          <t>Md. Farid Ahmed</t>
        </is>
      </c>
      <c r="J878" s="10">
        <f>IF(K878&gt;0, "Completed", "Pending")</f>
        <v/>
      </c>
      <c r="K878" s="10">
        <f>COUNTIF('Survey Responses'!F:F, F878)</f>
        <v/>
      </c>
    </row>
    <row r="879">
      <c r="A879" s="10" t="n">
        <v>878</v>
      </c>
      <c r="B879" s="11" t="inlineStr">
        <is>
          <t>Dhaka-C (GEN-A)</t>
        </is>
      </c>
      <c r="C879" s="11" t="inlineStr">
        <is>
          <t>Mr. Utpal Kumar Sen</t>
        </is>
      </c>
      <c r="D879" s="11" t="inlineStr">
        <is>
          <t>Dhaka GEN-A-18</t>
        </is>
      </c>
      <c r="E879" s="11" t="inlineStr">
        <is>
          <t>Zahidul Islam Shapon</t>
        </is>
      </c>
      <c r="F879" s="10" t="n">
        <v>10609</v>
      </c>
      <c r="G879" s="11" t="inlineStr">
        <is>
          <t>Sonir Akhra-1</t>
        </is>
      </c>
      <c r="H879" s="10" t="n">
        <v>5025</v>
      </c>
      <c r="I879" s="11" t="inlineStr">
        <is>
          <t>Mr. Ruhul Amin</t>
        </is>
      </c>
      <c r="J879" s="10">
        <f>IF(K879&gt;0, "Completed", "Pending")</f>
        <v/>
      </c>
      <c r="K879" s="10">
        <f>COUNTIF('Survey Responses'!F:F, F879)</f>
        <v/>
      </c>
    </row>
    <row r="880">
      <c r="A880" s="10" t="n">
        <v>879</v>
      </c>
      <c r="B880" s="11" t="inlineStr">
        <is>
          <t>Dhaka-C (GEN-A)</t>
        </is>
      </c>
      <c r="C880" s="11" t="inlineStr">
        <is>
          <t>Mr. Utpal Kumar Sen</t>
        </is>
      </c>
      <c r="D880" s="11" t="inlineStr">
        <is>
          <t>Dhaka GEN-A-18</t>
        </is>
      </c>
      <c r="E880" s="11" t="inlineStr">
        <is>
          <t>Zahidul Islam Shapon</t>
        </is>
      </c>
      <c r="F880" s="10" t="n">
        <v>10610</v>
      </c>
      <c r="G880" s="11" t="inlineStr">
        <is>
          <t>Sonir Akhra-2</t>
        </is>
      </c>
      <c r="H880" s="10" t="n">
        <v>8296</v>
      </c>
      <c r="I880" s="11" t="inlineStr">
        <is>
          <t>Mr. Md. Azim Uddin</t>
        </is>
      </c>
      <c r="J880" s="10">
        <f>IF(K880&gt;0, "Completed", "Pending")</f>
        <v/>
      </c>
      <c r="K880" s="10">
        <f>COUNTIF('Survey Responses'!F:F, F880)</f>
        <v/>
      </c>
    </row>
    <row r="881">
      <c r="A881" s="10" t="n">
        <v>880</v>
      </c>
      <c r="B881" s="11" t="inlineStr">
        <is>
          <t>Dhaka-C (GEN-A)</t>
        </is>
      </c>
      <c r="C881" s="11" t="inlineStr">
        <is>
          <t>Mr. Utpal Kumar Sen</t>
        </is>
      </c>
      <c r="D881" s="11" t="inlineStr">
        <is>
          <t>Dhaka GEN-A-18</t>
        </is>
      </c>
      <c r="E881" s="11" t="inlineStr">
        <is>
          <t>Zahidul Islam Shapon</t>
        </is>
      </c>
      <c r="F881" s="10" t="n">
        <v>12664</v>
      </c>
      <c r="G881" s="11" t="inlineStr">
        <is>
          <t>Sonir Akhra-3</t>
        </is>
      </c>
      <c r="H881" s="10" t="n">
        <v>5026</v>
      </c>
      <c r="I881" s="11" t="inlineStr">
        <is>
          <t>Mr. Md. Koushik Sarker</t>
        </is>
      </c>
      <c r="J881" s="10">
        <f>IF(K881&gt;0, "Completed", "Pending")</f>
        <v/>
      </c>
      <c r="K881" s="10">
        <f>COUNTIF('Survey Responses'!F:F, F881)</f>
        <v/>
      </c>
    </row>
    <row r="882">
      <c r="A882" s="10" t="n">
        <v>881</v>
      </c>
      <c r="B882" s="11" t="inlineStr">
        <is>
          <t>Dhaka-C (GEN-A)</t>
        </is>
      </c>
      <c r="C882" s="11" t="inlineStr">
        <is>
          <t>Mr. Utpal Kumar Sen</t>
        </is>
      </c>
      <c r="D882" s="11" t="inlineStr">
        <is>
          <t>Dhaka GEN-A-25</t>
        </is>
      </c>
      <c r="E882" s="11" t="inlineStr">
        <is>
          <t>Zubair Rahman</t>
        </is>
      </c>
      <c r="F882" s="10" t="n">
        <v>10583</v>
      </c>
      <c r="G882" s="11" t="inlineStr">
        <is>
          <t>Dayagonj-2</t>
        </is>
      </c>
      <c r="H882" s="10" t="n">
        <v>1067</v>
      </c>
      <c r="I882" s="11" t="inlineStr">
        <is>
          <t>Md. Mahbubar Rahman</t>
        </is>
      </c>
      <c r="J882" s="10">
        <f>IF(K882&gt;0, "Completed", "Pending")</f>
        <v/>
      </c>
      <c r="K882" s="10">
        <f>COUNTIF('Survey Responses'!F:F, F882)</f>
        <v/>
      </c>
    </row>
    <row r="883">
      <c r="A883" s="10" t="n">
        <v>882</v>
      </c>
      <c r="B883" s="11" t="inlineStr">
        <is>
          <t>Dhaka-C (GEN-A)</t>
        </is>
      </c>
      <c r="C883" s="11" t="inlineStr">
        <is>
          <t>Mr. Utpal Kumar Sen</t>
        </is>
      </c>
      <c r="D883" s="11" t="inlineStr">
        <is>
          <t>Dhaka GEN-A-25</t>
        </is>
      </c>
      <c r="E883" s="11" t="inlineStr">
        <is>
          <t>Zubair Rahman</t>
        </is>
      </c>
      <c r="F883" s="10" t="n">
        <v>10605</v>
      </c>
      <c r="G883" s="11" t="inlineStr">
        <is>
          <t>Juraine-1</t>
        </is>
      </c>
      <c r="H883" s="10" t="n">
        <v>3418</v>
      </c>
      <c r="I883" s="11" t="inlineStr">
        <is>
          <t>Mr. Md. Dalim Mollah</t>
        </is>
      </c>
      <c r="J883" s="10">
        <f>IF(K883&gt;0, "Completed", "Pending")</f>
        <v/>
      </c>
      <c r="K883" s="10">
        <f>COUNTIF('Survey Responses'!F:F, F883)</f>
        <v/>
      </c>
    </row>
    <row r="884">
      <c r="A884" s="10" t="n">
        <v>883</v>
      </c>
      <c r="B884" s="11" t="inlineStr">
        <is>
          <t>Dhaka-C (GEN-A)</t>
        </is>
      </c>
      <c r="C884" s="11" t="inlineStr">
        <is>
          <t>Mr. Utpal Kumar Sen</t>
        </is>
      </c>
      <c r="D884" s="11" t="inlineStr">
        <is>
          <t>Dhaka GEN-A-25</t>
        </is>
      </c>
      <c r="E884" s="11" t="inlineStr">
        <is>
          <t>Zubair Rahman</t>
        </is>
      </c>
      <c r="F884" s="10" t="n">
        <v>14644</v>
      </c>
      <c r="G884" s="11" t="inlineStr">
        <is>
          <t>Juraine-2</t>
        </is>
      </c>
      <c r="H884" s="10" t="n">
        <v>8297</v>
      </c>
      <c r="I884" s="11" t="inlineStr">
        <is>
          <t>Mr. Md. Golam Kibriya</t>
        </is>
      </c>
      <c r="J884" s="10">
        <f>IF(K884&gt;0, "Completed", "Pending")</f>
        <v/>
      </c>
      <c r="K884" s="10">
        <f>COUNTIF('Survey Responses'!F:F, F884)</f>
        <v/>
      </c>
    </row>
    <row r="885">
      <c r="A885" s="10" t="n">
        <v>884</v>
      </c>
      <c r="B885" s="11" t="inlineStr">
        <is>
          <t>Dhaka-C (GEN-A)</t>
        </is>
      </c>
      <c r="C885" s="11" t="inlineStr">
        <is>
          <t>Mr. Utpal Kumar Sen</t>
        </is>
      </c>
      <c r="D885" s="11" t="inlineStr">
        <is>
          <t>Dhaka GEN-A-25</t>
        </is>
      </c>
      <c r="E885" s="11" t="inlineStr">
        <is>
          <t>Zubair Rahman</t>
        </is>
      </c>
      <c r="F885" s="10" t="n">
        <v>10587</v>
      </c>
      <c r="G885" s="11" t="inlineStr">
        <is>
          <t>NMCH-Suprime</t>
        </is>
      </c>
      <c r="H885" s="10" t="n">
        <v>1220</v>
      </c>
      <c r="I885" s="11" t="inlineStr">
        <is>
          <t>Iqbal Hossain</t>
        </is>
      </c>
      <c r="J885" s="10">
        <f>IF(K885&gt;0, "Completed", "Pending")</f>
        <v/>
      </c>
      <c r="K885" s="10">
        <f>COUNTIF('Survey Responses'!F:F, F885)</f>
        <v/>
      </c>
    </row>
    <row r="886">
      <c r="A886" s="10" t="n">
        <v>885</v>
      </c>
      <c r="B886" s="11" t="inlineStr">
        <is>
          <t>Dhaka-C (GEN-A)</t>
        </is>
      </c>
      <c r="C886" s="11" t="inlineStr">
        <is>
          <t>Mr. Utpal Kumar Sen</t>
        </is>
      </c>
      <c r="D886" s="11" t="inlineStr">
        <is>
          <t>Dhaka GEN-A-25</t>
        </is>
      </c>
      <c r="E886" s="11" t="inlineStr">
        <is>
          <t>Zubair Rahman</t>
        </is>
      </c>
      <c r="F886" s="10" t="n">
        <v>10606</v>
      </c>
      <c r="G886" s="11" t="inlineStr">
        <is>
          <t>Postagola</t>
        </is>
      </c>
      <c r="H886" s="10" t="n">
        <v>3253</v>
      </c>
      <c r="I886" s="11" t="inlineStr">
        <is>
          <t>Abdul Kaium</t>
        </is>
      </c>
      <c r="J886" s="10">
        <f>IF(K886&gt;0, "Completed", "Pending")</f>
        <v/>
      </c>
      <c r="K886" s="10">
        <f>COUNTIF('Survey Responses'!F:F, F886)</f>
        <v/>
      </c>
    </row>
    <row r="887">
      <c r="A887" s="10" t="n">
        <v>886</v>
      </c>
      <c r="B887" s="11" t="inlineStr">
        <is>
          <t>Dhaka-C (GEN-A)</t>
        </is>
      </c>
      <c r="C887" s="11" t="inlineStr">
        <is>
          <t>Mr. Utpal Kumar Sen</t>
        </is>
      </c>
      <c r="D887" s="11" t="inlineStr">
        <is>
          <t>Dhaka GEN-A-25</t>
        </is>
      </c>
      <c r="E887" s="11" t="inlineStr">
        <is>
          <t>Zubair Rahman</t>
        </is>
      </c>
      <c r="F887" s="10" t="n">
        <v>13053</v>
      </c>
      <c r="G887" s="11" t="inlineStr">
        <is>
          <t>Postagola-2</t>
        </is>
      </c>
      <c r="H887" s="10" t="n">
        <v>5385</v>
      </c>
      <c r="I887" s="11" t="inlineStr">
        <is>
          <t>Mr. S.M. Shakir</t>
        </is>
      </c>
      <c r="J887" s="10">
        <f>IF(K887&gt;0, "Completed", "Pending")</f>
        <v/>
      </c>
      <c r="K887" s="10">
        <f>COUNTIF('Survey Responses'!F:F, F887)</f>
        <v/>
      </c>
    </row>
    <row r="888">
      <c r="A888" s="10" t="n">
        <v>887</v>
      </c>
      <c r="B888" s="11" t="inlineStr">
        <is>
          <t>Dhaka-C (GEN-A)</t>
        </is>
      </c>
      <c r="C888" s="11" t="inlineStr">
        <is>
          <t>Mr. Utpal Kumar Sen</t>
        </is>
      </c>
      <c r="D888" s="11" t="inlineStr">
        <is>
          <t>Dhaka GEN-A-25</t>
        </is>
      </c>
      <c r="E888" s="11" t="inlineStr">
        <is>
          <t>Zubair Rahman</t>
        </is>
      </c>
      <c r="F888" s="10" t="n">
        <v>12536</v>
      </c>
      <c r="G888" s="11" t="inlineStr">
        <is>
          <t>Sayedabad-1</t>
        </is>
      </c>
      <c r="H888" s="10" t="n">
        <v>1082</v>
      </c>
      <c r="I888" s="11" t="inlineStr">
        <is>
          <t>Md. Tahidul Islam</t>
        </is>
      </c>
      <c r="J888" s="10">
        <f>IF(K888&gt;0, "Completed", "Pending")</f>
        <v/>
      </c>
      <c r="K888" s="10">
        <f>COUNTIF('Survey Responses'!F:F, F888)</f>
        <v/>
      </c>
    </row>
    <row r="889">
      <c r="A889" s="10" t="n">
        <v>888</v>
      </c>
      <c r="B889" s="11" t="inlineStr">
        <is>
          <t>Dhaka-C (GEN-A)</t>
        </is>
      </c>
      <c r="C889" s="11" t="inlineStr">
        <is>
          <t>Mr. Utpal Kumar Sen</t>
        </is>
      </c>
      <c r="D889" s="11" t="inlineStr">
        <is>
          <t>Dhaka GEN-A-6</t>
        </is>
      </c>
      <c r="E889" s="11" t="inlineStr">
        <is>
          <t>Mr. Md. Aktaruzzaman</t>
        </is>
      </c>
      <c r="F889" s="10" t="n">
        <v>10586</v>
      </c>
      <c r="G889" s="11" t="inlineStr">
        <is>
          <t>Dayagonj-1</t>
        </is>
      </c>
      <c r="H889" s="10" t="n">
        <v>1610</v>
      </c>
      <c r="I889" s="11" t="inlineStr">
        <is>
          <t>Mohammad Serajul Islam</t>
        </is>
      </c>
      <c r="J889" s="10">
        <f>IF(K889&gt;0, "Completed", "Pending")</f>
        <v/>
      </c>
      <c r="K889" s="10">
        <f>COUNTIF('Survey Responses'!F:F, F889)</f>
        <v/>
      </c>
    </row>
    <row r="890">
      <c r="A890" s="10" t="n">
        <v>889</v>
      </c>
      <c r="B890" s="11" t="inlineStr">
        <is>
          <t>Dhaka-C (GEN-A)</t>
        </is>
      </c>
      <c r="C890" s="11" t="inlineStr">
        <is>
          <t>Mr. Utpal Kumar Sen</t>
        </is>
      </c>
      <c r="D890" s="11" t="inlineStr">
        <is>
          <t>Dhaka GEN-A-6</t>
        </is>
      </c>
      <c r="E890" s="11" t="inlineStr">
        <is>
          <t>Mr. Md. Aktaruzzaman</t>
        </is>
      </c>
      <c r="F890" s="10" t="n">
        <v>10584</v>
      </c>
      <c r="G890" s="11" t="inlineStr">
        <is>
          <t>Golapbag</t>
        </is>
      </c>
      <c r="H890" s="10" t="n">
        <v>1055</v>
      </c>
      <c r="I890" s="11" t="inlineStr">
        <is>
          <t>Md. Hasmot Ali</t>
        </is>
      </c>
      <c r="J890" s="10">
        <f>IF(K890&gt;0, "Completed", "Pending")</f>
        <v/>
      </c>
      <c r="K890" s="10">
        <f>COUNTIF('Survey Responses'!F:F, F890)</f>
        <v/>
      </c>
    </row>
    <row r="891">
      <c r="A891" s="10" t="n">
        <v>890</v>
      </c>
      <c r="B891" s="11" t="inlineStr">
        <is>
          <t>Dhaka-C (GEN-A)</t>
        </is>
      </c>
      <c r="C891" s="11" t="inlineStr">
        <is>
          <t>Mr. Utpal Kumar Sen</t>
        </is>
      </c>
      <c r="D891" s="11" t="inlineStr">
        <is>
          <t>Dhaka GEN-A-6</t>
        </is>
      </c>
      <c r="E891" s="11" t="inlineStr">
        <is>
          <t>Mr. Md. Aktaruzzaman</t>
        </is>
      </c>
      <c r="F891" s="10" t="n">
        <v>10588</v>
      </c>
      <c r="G891" s="11" t="inlineStr">
        <is>
          <t>NMCH-IBN Sina-1</t>
        </is>
      </c>
      <c r="H891" s="10" t="n">
        <v>2598</v>
      </c>
      <c r="I891" s="11" t="inlineStr">
        <is>
          <t>Hasheme Rufsan Zani</t>
        </is>
      </c>
      <c r="J891" s="10">
        <f>IF(K891&gt;0, "Completed", "Pending")</f>
        <v/>
      </c>
      <c r="K891" s="10">
        <f>COUNTIF('Survey Responses'!F:F, F891)</f>
        <v/>
      </c>
    </row>
    <row r="892">
      <c r="A892" s="10" t="n">
        <v>891</v>
      </c>
      <c r="B892" s="11" t="inlineStr">
        <is>
          <t>Dhaka-C (GEN-A)</t>
        </is>
      </c>
      <c r="C892" s="11" t="inlineStr">
        <is>
          <t>Mr. Utpal Kumar Sen</t>
        </is>
      </c>
      <c r="D892" s="11" t="inlineStr">
        <is>
          <t>Dhaka GEN-A-6</t>
        </is>
      </c>
      <c r="E892" s="11" t="inlineStr">
        <is>
          <t>Mr. Md. Aktaruzzaman</t>
        </is>
      </c>
      <c r="F892" s="10" t="n">
        <v>14133</v>
      </c>
      <c r="G892" s="11" t="inlineStr">
        <is>
          <t>NMCH-IBN Sina-2</t>
        </is>
      </c>
      <c r="H892" s="10" t="n">
        <v>7455</v>
      </c>
      <c r="I892" s="11" t="inlineStr">
        <is>
          <t>Mr. Md. Shoriful Islam</t>
        </is>
      </c>
      <c r="J892" s="10">
        <f>IF(K892&gt;0, "Completed", "Pending")</f>
        <v/>
      </c>
      <c r="K892" s="10">
        <f>COUNTIF('Survey Responses'!F:F, F892)</f>
        <v/>
      </c>
    </row>
    <row r="893">
      <c r="A893" s="10" t="n">
        <v>892</v>
      </c>
      <c r="B893" s="11" t="inlineStr">
        <is>
          <t>Dhaka-C (GEN-A)</t>
        </is>
      </c>
      <c r="C893" s="11" t="inlineStr">
        <is>
          <t>Mr. Utpal Kumar Sen</t>
        </is>
      </c>
      <c r="D893" s="11" t="inlineStr">
        <is>
          <t>Dhaka GEN-A-6</t>
        </is>
      </c>
      <c r="E893" s="11" t="inlineStr">
        <is>
          <t>Mr. Md. Aktaruzzaman</t>
        </is>
      </c>
      <c r="F893" s="10" t="n">
        <v>14838</v>
      </c>
      <c r="G893" s="11" t="inlineStr">
        <is>
          <t>NMCH-IBN Sina-3</t>
        </is>
      </c>
      <c r="H893" s="10" t="n">
        <v>8928</v>
      </c>
      <c r="I893" s="11" t="inlineStr">
        <is>
          <t>Mr. Polash Kumar Paul</t>
        </is>
      </c>
      <c r="J893" s="10">
        <f>IF(K893&gt;0, "Completed", "Pending")</f>
        <v/>
      </c>
      <c r="K893" s="10">
        <f>COUNTIF('Survey Responses'!F:F, F893)</f>
        <v/>
      </c>
    </row>
    <row r="894">
      <c r="A894" s="10" t="n">
        <v>893</v>
      </c>
      <c r="B894" s="11" t="inlineStr">
        <is>
          <t>Dhaka-C (GEN-A)</t>
        </is>
      </c>
      <c r="C894" s="11" t="inlineStr">
        <is>
          <t>Mr. Utpal Kumar Sen</t>
        </is>
      </c>
      <c r="D894" s="11" t="inlineStr">
        <is>
          <t>Dhaka GEN-A-6</t>
        </is>
      </c>
      <c r="E894" s="11" t="inlineStr">
        <is>
          <t>Mr. Md. Aktaruzzaman</t>
        </is>
      </c>
      <c r="F894" s="10" t="n">
        <v>10585</v>
      </c>
      <c r="G894" s="11" t="inlineStr">
        <is>
          <t>Tikatuli-1</t>
        </is>
      </c>
      <c r="H894" s="10" t="n">
        <v>1056</v>
      </c>
      <c r="I894" s="11" t="inlineStr">
        <is>
          <t>Md. Dulal Hossain</t>
        </is>
      </c>
      <c r="J894" s="10">
        <f>IF(K894&gt;0, "Completed", "Pending")</f>
        <v/>
      </c>
      <c r="K894" s="10">
        <f>COUNTIF('Survey Responses'!F:F, F894)</f>
        <v/>
      </c>
    </row>
    <row r="895">
      <c r="A895" s="10" t="n">
        <v>894</v>
      </c>
      <c r="B895" s="11" t="inlineStr">
        <is>
          <t>Dhaka-C (GEN-A)</t>
        </is>
      </c>
      <c r="C895" s="11" t="inlineStr">
        <is>
          <t>Mr. Utpal Kumar Sen</t>
        </is>
      </c>
      <c r="D895" s="11" t="inlineStr">
        <is>
          <t>Dhaka GEN-A-6</t>
        </is>
      </c>
      <c r="E895" s="11" t="inlineStr">
        <is>
          <t>Mr. Md. Aktaruzzaman</t>
        </is>
      </c>
      <c r="F895" s="10" t="n">
        <v>10589</v>
      </c>
      <c r="G895" s="11" t="inlineStr">
        <is>
          <t>Tikatuli-2</t>
        </is>
      </c>
      <c r="H895" s="10" t="n">
        <v>3938</v>
      </c>
      <c r="I895" s="11" t="inlineStr">
        <is>
          <t>Mr. Ashraful Islam</t>
        </is>
      </c>
      <c r="J895" s="10">
        <f>IF(K895&gt;0, "Completed", "Pending")</f>
        <v/>
      </c>
      <c r="K895" s="10">
        <f>COUNTIF('Survey Responses'!F:F, F895)</f>
        <v/>
      </c>
    </row>
    <row r="896">
      <c r="A896" s="10" t="n">
        <v>895</v>
      </c>
      <c r="B896" s="11" t="inlineStr">
        <is>
          <t>Dhaka-C (GEN-A)</t>
        </is>
      </c>
      <c r="C896" s="11" t="inlineStr">
        <is>
          <t>Mr. Utpal Kumar Sen</t>
        </is>
      </c>
      <c r="D896" s="11" t="inlineStr">
        <is>
          <t>Keranigonj GEN-A-1</t>
        </is>
      </c>
      <c r="E896" s="11" t="inlineStr">
        <is>
          <t>Mr. Md. Sadiqul Alam</t>
        </is>
      </c>
      <c r="F896" s="10" t="n">
        <v>13181</v>
      </c>
      <c r="G896" s="11" t="inlineStr">
        <is>
          <t>Abdullahpur-Nimtola</t>
        </is>
      </c>
      <c r="H896" s="10" t="n">
        <v>5789</v>
      </c>
      <c r="I896" s="11" t="inlineStr">
        <is>
          <t>Mr. Khalid Hasan</t>
        </is>
      </c>
      <c r="J896" s="10">
        <f>IF(K896&gt;0, "Completed", "Pending")</f>
        <v/>
      </c>
      <c r="K896" s="10">
        <f>COUNTIF('Survey Responses'!F:F, F896)</f>
        <v/>
      </c>
    </row>
    <row r="897">
      <c r="A897" s="10" t="n">
        <v>896</v>
      </c>
      <c r="B897" s="11" t="inlineStr">
        <is>
          <t>Dhaka-C (GEN-A)</t>
        </is>
      </c>
      <c r="C897" s="11" t="inlineStr">
        <is>
          <t>Mr. Utpal Kumar Sen</t>
        </is>
      </c>
      <c r="D897" s="11" t="inlineStr">
        <is>
          <t>Keranigonj GEN-A-1</t>
        </is>
      </c>
      <c r="E897" s="11" t="inlineStr">
        <is>
          <t>Mr. Md. Sadiqul Alam</t>
        </is>
      </c>
      <c r="F897" s="10" t="n">
        <v>10493</v>
      </c>
      <c r="G897" s="11" t="inlineStr">
        <is>
          <t>Keranigonj-1</t>
        </is>
      </c>
      <c r="H897" s="10" t="n">
        <v>6708</v>
      </c>
      <c r="I897" s="11" t="inlineStr">
        <is>
          <t>Mr. Shufi Korani</t>
        </is>
      </c>
      <c r="J897" s="10">
        <f>IF(K897&gt;0, "Completed", "Pending")</f>
        <v/>
      </c>
      <c r="K897" s="10">
        <f>COUNTIF('Survey Responses'!F:F, F897)</f>
        <v/>
      </c>
    </row>
    <row r="898">
      <c r="A898" s="10" t="n">
        <v>897</v>
      </c>
      <c r="B898" s="11" t="inlineStr">
        <is>
          <t>Dhaka-C (GEN-A)</t>
        </is>
      </c>
      <c r="C898" s="11" t="inlineStr">
        <is>
          <t>Mr. Utpal Kumar Sen</t>
        </is>
      </c>
      <c r="D898" s="11" t="inlineStr">
        <is>
          <t>Keranigonj GEN-A-1</t>
        </is>
      </c>
      <c r="E898" s="11" t="inlineStr">
        <is>
          <t>Mr. Md. Sadiqul Alam</t>
        </is>
      </c>
      <c r="F898" s="10" t="n">
        <v>10497</v>
      </c>
      <c r="G898" s="11" t="inlineStr">
        <is>
          <t>Keranigonj-2</t>
        </is>
      </c>
      <c r="H898" s="10" t="n">
        <v>7308</v>
      </c>
      <c r="I898" s="11" t="inlineStr">
        <is>
          <t>Mr. Abubakar Siddique</t>
        </is>
      </c>
      <c r="J898" s="10">
        <f>IF(K898&gt;0, "Completed", "Pending")</f>
        <v/>
      </c>
      <c r="K898" s="10">
        <f>COUNTIF('Survey Responses'!F:F, F898)</f>
        <v/>
      </c>
    </row>
    <row r="899">
      <c r="A899" s="10" t="n">
        <v>898</v>
      </c>
      <c r="B899" s="11" t="inlineStr">
        <is>
          <t>Dhaka-C (GEN-A)</t>
        </is>
      </c>
      <c r="C899" s="11" t="inlineStr">
        <is>
          <t>Mr. Utpal Kumar Sen</t>
        </is>
      </c>
      <c r="D899" s="11" t="inlineStr">
        <is>
          <t>Keranigonj GEN-A-1</t>
        </is>
      </c>
      <c r="E899" s="11" t="inlineStr">
        <is>
          <t>Mr. Md. Sadiqul Alam</t>
        </is>
      </c>
      <c r="F899" s="10" t="n">
        <v>12898</v>
      </c>
      <c r="G899" s="11" t="inlineStr">
        <is>
          <t>Keranigonj-3</t>
        </is>
      </c>
      <c r="H899" s="10" t="n">
        <v>5066</v>
      </c>
      <c r="I899" s="11" t="inlineStr">
        <is>
          <t>Mr. Shahin Rahman</t>
        </is>
      </c>
      <c r="J899" s="10">
        <f>IF(K899&gt;0, "Completed", "Pending")</f>
        <v/>
      </c>
      <c r="K899" s="10">
        <f>COUNTIF('Survey Responses'!F:F, F899)</f>
        <v/>
      </c>
    </row>
    <row r="900">
      <c r="A900" s="10" t="n">
        <v>899</v>
      </c>
      <c r="B900" s="11" t="inlineStr">
        <is>
          <t>Dhaka-C (GEN-A)</t>
        </is>
      </c>
      <c r="C900" s="11" t="inlineStr">
        <is>
          <t>Mr. Utpal Kumar Sen</t>
        </is>
      </c>
      <c r="D900" s="11" t="inlineStr">
        <is>
          <t>Keranigonj GEN-A-1</t>
        </is>
      </c>
      <c r="E900" s="11" t="inlineStr">
        <is>
          <t>Mr. Md. Sadiqul Alam</t>
        </is>
      </c>
      <c r="F900" s="10" t="n">
        <v>12321</v>
      </c>
      <c r="G900" s="11" t="inlineStr">
        <is>
          <t>Louhajang-1</t>
        </is>
      </c>
      <c r="H900" s="10" t="n">
        <v>755</v>
      </c>
      <c r="I900" s="11" t="inlineStr">
        <is>
          <t>Md. Rafiqujjaman</t>
        </is>
      </c>
      <c r="J900" s="10">
        <f>IF(K900&gt;0, "Completed", "Pending")</f>
        <v/>
      </c>
      <c r="K900" s="10">
        <f>COUNTIF('Survey Responses'!F:F, F900)</f>
        <v/>
      </c>
    </row>
    <row r="901">
      <c r="A901" s="10" t="n">
        <v>900</v>
      </c>
      <c r="B901" s="11" t="inlineStr">
        <is>
          <t>Dhaka-C (GEN-A)</t>
        </is>
      </c>
      <c r="C901" s="11" t="inlineStr">
        <is>
          <t>Mr. Utpal Kumar Sen</t>
        </is>
      </c>
      <c r="D901" s="11" t="inlineStr">
        <is>
          <t>Keranigonj GEN-A-1</t>
        </is>
      </c>
      <c r="E901" s="11" t="inlineStr">
        <is>
          <t>Mr. Md. Sadiqul Alam</t>
        </is>
      </c>
      <c r="F901" s="10" t="n">
        <v>10501</v>
      </c>
      <c r="G901" s="11" t="inlineStr">
        <is>
          <t>Sreenagar</t>
        </is>
      </c>
      <c r="H901" s="10" t="n">
        <v>2733</v>
      </c>
      <c r="I901" s="11" t="inlineStr">
        <is>
          <t>Md. Golam Mostafa</t>
        </is>
      </c>
      <c r="J901" s="10">
        <f>IF(K901&gt;0, "Completed", "Pending")</f>
        <v/>
      </c>
      <c r="K901" s="10">
        <f>COUNTIF('Survey Responses'!F:F, F901)</f>
        <v/>
      </c>
    </row>
    <row r="902">
      <c r="A902" s="10" t="n">
        <v>901</v>
      </c>
      <c r="B902" s="11" t="inlineStr">
        <is>
          <t>Dhaka-C (GEN-A)</t>
        </is>
      </c>
      <c r="C902" s="11" t="inlineStr">
        <is>
          <t>Mr. Utpal Kumar Sen</t>
        </is>
      </c>
      <c r="D902" s="11" t="inlineStr">
        <is>
          <t>Keranigonj GEN-A-1</t>
        </is>
      </c>
      <c r="E902" s="11" t="inlineStr">
        <is>
          <t>Mr. Md. Sadiqul Alam</t>
        </is>
      </c>
      <c r="F902" s="10" t="n">
        <v>10502</v>
      </c>
      <c r="G902" s="11" t="inlineStr">
        <is>
          <t>Sreenagar-1</t>
        </is>
      </c>
      <c r="H902" s="10" t="n">
        <v>3699</v>
      </c>
      <c r="I902" s="11" t="inlineStr">
        <is>
          <t>Mr. Janky Ram Ray</t>
        </is>
      </c>
      <c r="J902" s="10">
        <f>IF(K902&gt;0, "Completed", "Pending")</f>
        <v/>
      </c>
      <c r="K902" s="10">
        <f>COUNTIF('Survey Responses'!F:F, F902)</f>
        <v/>
      </c>
    </row>
    <row r="903">
      <c r="A903" s="10" t="n">
        <v>902</v>
      </c>
      <c r="B903" s="11" t="inlineStr">
        <is>
          <t>Dhaka-I (GEN-A)</t>
        </is>
      </c>
      <c r="C903" s="11" t="inlineStr">
        <is>
          <t>Mr. Md. Zahirul Islam</t>
        </is>
      </c>
      <c r="D903" s="11" t="inlineStr">
        <is>
          <t>Dhaka GEN-A-12</t>
        </is>
      </c>
      <c r="E903" s="11" t="inlineStr">
        <is>
          <t>Md. Shahin Alam</t>
        </is>
      </c>
      <c r="F903" s="10" t="n">
        <v>10014</v>
      </c>
      <c r="G903" s="11" t="inlineStr">
        <is>
          <t>Apollo-1</t>
        </is>
      </c>
      <c r="H903" s="10" t="n">
        <v>3707</v>
      </c>
      <c r="I903" s="11" t="inlineStr">
        <is>
          <t>Mr. Md. Imran Hosain</t>
        </is>
      </c>
      <c r="J903" s="10">
        <f>IF(K903&gt;0, "Completed", "Pending")</f>
        <v/>
      </c>
      <c r="K903" s="10">
        <f>COUNTIF('Survey Responses'!F:F, F903)</f>
        <v/>
      </c>
    </row>
    <row r="904">
      <c r="A904" s="10" t="n">
        <v>903</v>
      </c>
      <c r="B904" s="11" t="inlineStr">
        <is>
          <t>Dhaka-I (GEN-A)</t>
        </is>
      </c>
      <c r="C904" s="11" t="inlineStr">
        <is>
          <t>Mr. Md. Zahirul Islam</t>
        </is>
      </c>
      <c r="D904" s="11" t="inlineStr">
        <is>
          <t>Dhaka GEN-A-12</t>
        </is>
      </c>
      <c r="E904" s="11" t="inlineStr">
        <is>
          <t>Md. Shahin Alam</t>
        </is>
      </c>
      <c r="F904" s="10" t="n">
        <v>10018</v>
      </c>
      <c r="G904" s="11" t="inlineStr">
        <is>
          <t>Apollo-2</t>
        </is>
      </c>
      <c r="H904" s="10" t="n">
        <v>6906</v>
      </c>
      <c r="I904" s="11" t="inlineStr">
        <is>
          <t>Mr. Md. Azim Mia</t>
        </is>
      </c>
      <c r="J904" s="10">
        <f>IF(K904&gt;0, "Completed", "Pending")</f>
        <v/>
      </c>
      <c r="K904" s="10">
        <f>COUNTIF('Survey Responses'!F:F, F904)</f>
        <v/>
      </c>
    </row>
    <row r="905">
      <c r="A905" s="10" t="n">
        <v>904</v>
      </c>
      <c r="B905" s="11" t="inlineStr">
        <is>
          <t>Dhaka-I (GEN-A)</t>
        </is>
      </c>
      <c r="C905" s="11" t="inlineStr">
        <is>
          <t>Mr. Md. Zahirul Islam</t>
        </is>
      </c>
      <c r="D905" s="11" t="inlineStr">
        <is>
          <t>Dhaka GEN-A-12</t>
        </is>
      </c>
      <c r="E905" s="11" t="inlineStr">
        <is>
          <t>Md. Shahin Alam</t>
        </is>
      </c>
      <c r="F905" s="10" t="n">
        <v>10017</v>
      </c>
      <c r="G905" s="11" t="inlineStr">
        <is>
          <t>Apollo-3</t>
        </is>
      </c>
      <c r="H905" s="10" t="n">
        <v>5131</v>
      </c>
      <c r="I905" s="11" t="inlineStr">
        <is>
          <t>Mr. Md. Ebrahim</t>
        </is>
      </c>
      <c r="J905" s="10">
        <f>IF(K905&gt;0, "Completed", "Pending")</f>
        <v/>
      </c>
      <c r="K905" s="10">
        <f>COUNTIF('Survey Responses'!F:F, F905)</f>
        <v/>
      </c>
    </row>
    <row r="906">
      <c r="A906" s="10" t="n">
        <v>905</v>
      </c>
      <c r="B906" s="11" t="inlineStr">
        <is>
          <t>Dhaka-I (GEN-A)</t>
        </is>
      </c>
      <c r="C906" s="11" t="inlineStr">
        <is>
          <t>Mr. Md. Zahirul Islam</t>
        </is>
      </c>
      <c r="D906" s="11" t="inlineStr">
        <is>
          <t>Dhaka GEN-A-12</t>
        </is>
      </c>
      <c r="E906" s="11" t="inlineStr">
        <is>
          <t>Md. Shahin Alam</t>
        </is>
      </c>
      <c r="F906" s="10" t="n">
        <v>14145</v>
      </c>
      <c r="G906" s="11" t="inlineStr">
        <is>
          <t>Apollo-4</t>
        </is>
      </c>
      <c r="H906" s="10" t="n">
        <v>7490</v>
      </c>
      <c r="I906" s="11" t="inlineStr">
        <is>
          <t>Mr. Md. Shahriar Kazol</t>
        </is>
      </c>
      <c r="J906" s="10">
        <f>IF(K906&gt;0, "Completed", "Pending")</f>
        <v/>
      </c>
      <c r="K906" s="10">
        <f>COUNTIF('Survey Responses'!F:F, F906)</f>
        <v/>
      </c>
    </row>
    <row r="907">
      <c r="A907" s="10" t="n">
        <v>906</v>
      </c>
      <c r="B907" s="11" t="inlineStr">
        <is>
          <t>Dhaka-I (GEN-A)</t>
        </is>
      </c>
      <c r="C907" s="11" t="inlineStr">
        <is>
          <t>Mr. Md. Zahirul Islam</t>
        </is>
      </c>
      <c r="D907" s="11" t="inlineStr">
        <is>
          <t>Dhaka GEN-A-12</t>
        </is>
      </c>
      <c r="E907" s="11" t="inlineStr">
        <is>
          <t>Md. Shahin Alam</t>
        </is>
      </c>
      <c r="F907" s="10" t="n">
        <v>10019</v>
      </c>
      <c r="G907" s="11" t="inlineStr">
        <is>
          <t>NIDCH-Badda</t>
        </is>
      </c>
      <c r="H907" s="10" t="n">
        <v>3581</v>
      </c>
      <c r="I907" s="11" t="inlineStr">
        <is>
          <t>Mr. Md. Mahfuz Shah</t>
        </is>
      </c>
      <c r="J907" s="10">
        <f>IF(K907&gt;0, "Completed", "Pending")</f>
        <v/>
      </c>
      <c r="K907" s="10">
        <f>COUNTIF('Survey Responses'!F:F, F907)</f>
        <v/>
      </c>
    </row>
    <row r="908">
      <c r="A908" s="10" t="n">
        <v>907</v>
      </c>
      <c r="B908" s="11" t="inlineStr">
        <is>
          <t>Dhaka-I (GEN-A)</t>
        </is>
      </c>
      <c r="C908" s="11" t="inlineStr">
        <is>
          <t>Mr. Md. Zahirul Islam</t>
        </is>
      </c>
      <c r="D908" s="11" t="inlineStr">
        <is>
          <t>Dhaka GEN-A-12</t>
        </is>
      </c>
      <c r="E908" s="11" t="inlineStr">
        <is>
          <t>Md. Shahin Alam</t>
        </is>
      </c>
      <c r="F908" s="10" t="n">
        <v>10013</v>
      </c>
      <c r="G908" s="11" t="inlineStr">
        <is>
          <t>Shahjadpur-Natun Bazar</t>
        </is>
      </c>
      <c r="H908" s="10" t="n">
        <v>8600</v>
      </c>
      <c r="I908" s="11" t="inlineStr">
        <is>
          <t>Mr. Ahad Ahmed</t>
        </is>
      </c>
      <c r="J908" s="10">
        <f>IF(K908&gt;0, "Completed", "Pending")</f>
        <v/>
      </c>
      <c r="K908" s="10">
        <f>COUNTIF('Survey Responses'!F:F, F908)</f>
        <v/>
      </c>
    </row>
    <row r="909">
      <c r="A909" s="10" t="n">
        <v>908</v>
      </c>
      <c r="B909" s="11" t="inlineStr">
        <is>
          <t>Dhaka-I (GEN-A)</t>
        </is>
      </c>
      <c r="C909" s="11" t="inlineStr">
        <is>
          <t>Mr. Md. Zahirul Islam</t>
        </is>
      </c>
      <c r="D909" s="11" t="inlineStr">
        <is>
          <t>Dhaka GEN-A-12</t>
        </is>
      </c>
      <c r="E909" s="11" t="inlineStr">
        <is>
          <t>Md. Shahin Alam</t>
        </is>
      </c>
      <c r="F909" s="10" t="n">
        <v>14866</v>
      </c>
      <c r="G909" s="11" t="inlineStr">
        <is>
          <t>Shahjadpur-Popular-1</t>
        </is>
      </c>
      <c r="H909" s="10" t="n">
        <v>8986</v>
      </c>
      <c r="I909" s="11" t="inlineStr">
        <is>
          <t>Mr. Asad Babu</t>
        </is>
      </c>
      <c r="J909" s="10">
        <f>IF(K909&gt;0, "Completed", "Pending")</f>
        <v/>
      </c>
      <c r="K909" s="10">
        <f>COUNTIF('Survey Responses'!F:F, F909)</f>
        <v/>
      </c>
    </row>
    <row r="910">
      <c r="A910" s="10" t="n">
        <v>909</v>
      </c>
      <c r="B910" s="11" t="inlineStr">
        <is>
          <t>Dhaka-I (GEN-A)</t>
        </is>
      </c>
      <c r="C910" s="11" t="inlineStr">
        <is>
          <t>Mr. Md. Zahirul Islam</t>
        </is>
      </c>
      <c r="D910" s="11" t="inlineStr">
        <is>
          <t>Dhaka GEN-A-19</t>
        </is>
      </c>
      <c r="E910" s="11" t="inlineStr">
        <is>
          <t>Mr. Kausar Ali</t>
        </is>
      </c>
      <c r="F910" s="10" t="n">
        <v>10015</v>
      </c>
      <c r="G910" s="11" t="inlineStr">
        <is>
          <t>Badda-1</t>
        </is>
      </c>
      <c r="H910" s="10" t="n">
        <v>5030</v>
      </c>
      <c r="I910" s="11" t="inlineStr">
        <is>
          <t>Mr. Md. Joynal Abedin</t>
        </is>
      </c>
      <c r="J910" s="10">
        <f>IF(K910&gt;0, "Completed", "Pending")</f>
        <v/>
      </c>
      <c r="K910" s="10">
        <f>COUNTIF('Survey Responses'!F:F, F910)</f>
        <v/>
      </c>
    </row>
    <row r="911">
      <c r="A911" s="10" t="n">
        <v>910</v>
      </c>
      <c r="B911" s="11" t="inlineStr">
        <is>
          <t>Dhaka-I (GEN-A)</t>
        </is>
      </c>
      <c r="C911" s="11" t="inlineStr">
        <is>
          <t>Mr. Md. Zahirul Islam</t>
        </is>
      </c>
      <c r="D911" s="11" t="inlineStr">
        <is>
          <t>Dhaka GEN-A-19</t>
        </is>
      </c>
      <c r="E911" s="11" t="inlineStr">
        <is>
          <t>Mr. Kausar Ali</t>
        </is>
      </c>
      <c r="F911" s="10" t="n">
        <v>10016</v>
      </c>
      <c r="G911" s="11" t="inlineStr">
        <is>
          <t>Badda-3</t>
        </is>
      </c>
      <c r="H911" s="10" t="n">
        <v>8599</v>
      </c>
      <c r="I911" s="11" t="inlineStr">
        <is>
          <t>Mr. Md. Motaharul Islam</t>
        </is>
      </c>
      <c r="J911" s="10">
        <f>IF(K911&gt;0, "Completed", "Pending")</f>
        <v/>
      </c>
      <c r="K911" s="10">
        <f>COUNTIF('Survey Responses'!F:F, F911)</f>
        <v/>
      </c>
    </row>
    <row r="912">
      <c r="A912" s="10" t="n">
        <v>911</v>
      </c>
      <c r="B912" s="11" t="inlineStr">
        <is>
          <t>Dhaka-I (GEN-A)</t>
        </is>
      </c>
      <c r="C912" s="11" t="inlineStr">
        <is>
          <t>Mr. Md. Zahirul Islam</t>
        </is>
      </c>
      <c r="D912" s="11" t="inlineStr">
        <is>
          <t>Dhaka GEN-A-19</t>
        </is>
      </c>
      <c r="E912" s="11" t="inlineStr">
        <is>
          <t>Mr. Kausar Ali</t>
        </is>
      </c>
      <c r="F912" s="10" t="n">
        <v>12982</v>
      </c>
      <c r="G912" s="11" t="inlineStr">
        <is>
          <t>Badda-4</t>
        </is>
      </c>
      <c r="H912" s="10" t="n">
        <v>5287</v>
      </c>
      <c r="I912" s="11" t="inlineStr">
        <is>
          <t>Mr. Md. Shohanur Rahman</t>
        </is>
      </c>
      <c r="J912" s="10">
        <f>IF(K912&gt;0, "Completed", "Pending")</f>
        <v/>
      </c>
      <c r="K912" s="10">
        <f>COUNTIF('Survey Responses'!F:F, F912)</f>
        <v/>
      </c>
    </row>
    <row r="913">
      <c r="A913" s="10" t="n">
        <v>912</v>
      </c>
      <c r="B913" s="11" t="inlineStr">
        <is>
          <t>Dhaka-I (GEN-A)</t>
        </is>
      </c>
      <c r="C913" s="11" t="inlineStr">
        <is>
          <t>Mr. Md. Zahirul Islam</t>
        </is>
      </c>
      <c r="D913" s="11" t="inlineStr">
        <is>
          <t>Dhaka GEN-A-19</t>
        </is>
      </c>
      <c r="E913" s="11" t="inlineStr">
        <is>
          <t>Mr. Kausar Ali</t>
        </is>
      </c>
      <c r="F913" s="10" t="n">
        <v>14127</v>
      </c>
      <c r="G913" s="11" t="inlineStr">
        <is>
          <t>Badda-5</t>
        </is>
      </c>
      <c r="H913" s="10" t="n">
        <v>7576</v>
      </c>
      <c r="I913" s="11" t="inlineStr">
        <is>
          <t>Mr. Abul Kashem</t>
        </is>
      </c>
      <c r="J913" s="10">
        <f>IF(K913&gt;0, "Completed", "Pending")</f>
        <v/>
      </c>
      <c r="K913" s="10">
        <f>COUNTIF('Survey Responses'!F:F, F913)</f>
        <v/>
      </c>
    </row>
    <row r="914">
      <c r="A914" s="10" t="n">
        <v>913</v>
      </c>
      <c r="B914" s="11" t="inlineStr">
        <is>
          <t>Dhaka-I (GEN-A)</t>
        </is>
      </c>
      <c r="C914" s="11" t="inlineStr">
        <is>
          <t>Mr. Md. Zahirul Islam</t>
        </is>
      </c>
      <c r="D914" s="11" t="inlineStr">
        <is>
          <t>Dhaka GEN-A-19</t>
        </is>
      </c>
      <c r="E914" s="11" t="inlineStr">
        <is>
          <t>Mr. Kausar Ali</t>
        </is>
      </c>
      <c r="F914" s="10" t="n">
        <v>10020</v>
      </c>
      <c r="G914" s="11" t="inlineStr">
        <is>
          <t>Rampura-Banasree-1</t>
        </is>
      </c>
      <c r="H914" s="10" t="n">
        <v>2149</v>
      </c>
      <c r="I914" s="11" t="inlineStr">
        <is>
          <t>Md. Abul Fuad</t>
        </is>
      </c>
      <c r="J914" s="10">
        <f>IF(K914&gt;0, "Completed", "Pending")</f>
        <v/>
      </c>
      <c r="K914" s="10">
        <f>COUNTIF('Survey Responses'!F:F, F914)</f>
        <v/>
      </c>
    </row>
    <row r="915">
      <c r="A915" s="10" t="n">
        <v>914</v>
      </c>
      <c r="B915" s="11" t="inlineStr">
        <is>
          <t>Dhaka-I (GEN-A)</t>
        </is>
      </c>
      <c r="C915" s="11" t="inlineStr">
        <is>
          <t>Mr. Md. Zahirul Islam</t>
        </is>
      </c>
      <c r="D915" s="11" t="inlineStr">
        <is>
          <t>Dhaka GEN-A-19</t>
        </is>
      </c>
      <c r="E915" s="11" t="inlineStr">
        <is>
          <t>Mr. Kausar Ali</t>
        </is>
      </c>
      <c r="F915" s="10" t="n">
        <v>10026</v>
      </c>
      <c r="G915" s="11" t="inlineStr">
        <is>
          <t>Rampura-Banasree-3</t>
        </is>
      </c>
      <c r="H915" s="10" t="n">
        <v>3049</v>
      </c>
      <c r="I915" s="11" t="inlineStr">
        <is>
          <t>Md. Amedul Islam</t>
        </is>
      </c>
      <c r="J915" s="10">
        <f>IF(K915&gt;0, "Completed", "Pending")</f>
        <v/>
      </c>
      <c r="K915" s="10">
        <f>COUNTIF('Survey Responses'!F:F, F915)</f>
        <v/>
      </c>
    </row>
    <row r="916">
      <c r="A916" s="10" t="n">
        <v>915</v>
      </c>
      <c r="B916" s="11" t="inlineStr">
        <is>
          <t>Dhaka-I (GEN-A)</t>
        </is>
      </c>
      <c r="C916" s="11" t="inlineStr">
        <is>
          <t>Mr. Md. Zahirul Islam</t>
        </is>
      </c>
      <c r="D916" s="11" t="inlineStr">
        <is>
          <t>Dhaka GEN-A-19</t>
        </is>
      </c>
      <c r="E916" s="11" t="inlineStr">
        <is>
          <t>Mr. Kausar Ali</t>
        </is>
      </c>
      <c r="F916" s="10" t="n">
        <v>13640</v>
      </c>
      <c r="G916" s="11" t="inlineStr">
        <is>
          <t>Rampura-Banasree-4</t>
        </is>
      </c>
      <c r="H916" s="10" t="n">
        <v>7271</v>
      </c>
      <c r="I916" s="11" t="inlineStr">
        <is>
          <t>Mr. Md. Moklasur Rahman</t>
        </is>
      </c>
      <c r="J916" s="10">
        <f>IF(K916&gt;0, "Completed", "Pending")</f>
        <v/>
      </c>
      <c r="K916" s="10">
        <f>COUNTIF('Survey Responses'!F:F, F916)</f>
        <v/>
      </c>
    </row>
    <row r="917">
      <c r="A917" s="10" t="n">
        <v>916</v>
      </c>
      <c r="B917" s="11" t="inlineStr">
        <is>
          <t>Dhaka-I (GEN-A)</t>
        </is>
      </c>
      <c r="C917" s="11" t="inlineStr">
        <is>
          <t>Mr. Md. Zahirul Islam</t>
        </is>
      </c>
      <c r="D917" s="11" t="inlineStr">
        <is>
          <t>Dhaka GEN-A-20</t>
        </is>
      </c>
      <c r="E917" s="11" t="inlineStr">
        <is>
          <t>Mr. Shohrab Hossain</t>
        </is>
      </c>
      <c r="F917" s="10" t="n">
        <v>10009</v>
      </c>
      <c r="G917" s="11" t="inlineStr">
        <is>
          <t>DMCH-1</t>
        </is>
      </c>
      <c r="H917" s="10" t="n">
        <v>8595</v>
      </c>
      <c r="I917" s="11" t="inlineStr">
        <is>
          <t>Mr. Masud Rana</t>
        </is>
      </c>
      <c r="J917" s="10">
        <f>IF(K917&gt;0, "Completed", "Pending")</f>
        <v/>
      </c>
      <c r="K917" s="10">
        <f>COUNTIF('Survey Responses'!F:F, F917)</f>
        <v/>
      </c>
    </row>
    <row r="918">
      <c r="A918" s="10" t="n">
        <v>917</v>
      </c>
      <c r="B918" s="11" t="inlineStr">
        <is>
          <t>Dhaka-I (GEN-A)</t>
        </is>
      </c>
      <c r="C918" s="11" t="inlineStr">
        <is>
          <t>Mr. Md. Zahirul Islam</t>
        </is>
      </c>
      <c r="D918" s="11" t="inlineStr">
        <is>
          <t>Dhaka GEN-A-20</t>
        </is>
      </c>
      <c r="E918" s="11" t="inlineStr">
        <is>
          <t>Mr. Shohrab Hossain</t>
        </is>
      </c>
      <c r="F918" s="10" t="n">
        <v>10011</v>
      </c>
      <c r="G918" s="11" t="inlineStr">
        <is>
          <t>DMCH-2</t>
        </is>
      </c>
      <c r="H918" s="10" t="n">
        <v>3132</v>
      </c>
      <c r="I918" s="11" t="inlineStr">
        <is>
          <t>Md. Ashraful Islam</t>
        </is>
      </c>
      <c r="J918" s="10">
        <f>IF(K918&gt;0, "Completed", "Pending")</f>
        <v/>
      </c>
      <c r="K918" s="10">
        <f>COUNTIF('Survey Responses'!F:F, F918)</f>
        <v/>
      </c>
    </row>
    <row r="919">
      <c r="A919" s="10" t="n">
        <v>918</v>
      </c>
      <c r="B919" s="11" t="inlineStr">
        <is>
          <t>Dhaka-I (GEN-A)</t>
        </is>
      </c>
      <c r="C919" s="11" t="inlineStr">
        <is>
          <t>Mr. Md. Zahirul Islam</t>
        </is>
      </c>
      <c r="D919" s="11" t="inlineStr">
        <is>
          <t>Dhaka GEN-A-20</t>
        </is>
      </c>
      <c r="E919" s="11" t="inlineStr">
        <is>
          <t>Mr. Shohrab Hossain</t>
        </is>
      </c>
      <c r="F919" s="10" t="n">
        <v>14143</v>
      </c>
      <c r="G919" s="11" t="inlineStr">
        <is>
          <t>DMCH-3</t>
        </is>
      </c>
      <c r="H919" s="10" t="n">
        <v>7488</v>
      </c>
      <c r="I919" s="11" t="inlineStr">
        <is>
          <t>Mr. Md. Shafiul Alam</t>
        </is>
      </c>
      <c r="J919" s="10">
        <f>IF(K919&gt;0, "Completed", "Pending")</f>
        <v/>
      </c>
      <c r="K919" s="10">
        <f>COUNTIF('Survey Responses'!F:F, F919)</f>
        <v/>
      </c>
    </row>
    <row r="920">
      <c r="A920" s="10" t="n">
        <v>919</v>
      </c>
      <c r="B920" s="11" t="inlineStr">
        <is>
          <t>Dhaka-I (GEN-A)</t>
        </is>
      </c>
      <c r="C920" s="11" t="inlineStr">
        <is>
          <t>Mr. Md. Zahirul Islam</t>
        </is>
      </c>
      <c r="D920" s="11" t="inlineStr">
        <is>
          <t>Dhaka GEN-A-20</t>
        </is>
      </c>
      <c r="E920" s="11" t="inlineStr">
        <is>
          <t>Mr. Shohrab Hossain</t>
        </is>
      </c>
      <c r="F920" s="10" t="n">
        <v>13255</v>
      </c>
      <c r="G920" s="11" t="inlineStr">
        <is>
          <t>DMCH-Chawkbazar</t>
        </is>
      </c>
      <c r="H920" s="10" t="n">
        <v>9053</v>
      </c>
      <c r="I920" s="11" t="inlineStr">
        <is>
          <t>Mr. Md. Hasanuzzaman</t>
        </is>
      </c>
      <c r="J920" s="10">
        <f>IF(K920&gt;0, "Completed", "Pending")</f>
        <v/>
      </c>
      <c r="K920" s="10">
        <f>COUNTIF('Survey Responses'!F:F, F920)</f>
        <v/>
      </c>
    </row>
    <row r="921">
      <c r="A921" s="10" t="n">
        <v>920</v>
      </c>
      <c r="B921" s="11" t="inlineStr">
        <is>
          <t>Dhaka-I (GEN-A)</t>
        </is>
      </c>
      <c r="C921" s="11" t="inlineStr">
        <is>
          <t>Mr. Md. Zahirul Islam</t>
        </is>
      </c>
      <c r="D921" s="11" t="inlineStr">
        <is>
          <t>Dhaka GEN-A-20</t>
        </is>
      </c>
      <c r="E921" s="11" t="inlineStr">
        <is>
          <t>Mr. Shohrab Hossain</t>
        </is>
      </c>
      <c r="F921" s="10" t="n">
        <v>10010</v>
      </c>
      <c r="G921" s="11" t="inlineStr">
        <is>
          <t>DMCH-Taltola</t>
        </is>
      </c>
      <c r="H921" s="10" t="n">
        <v>5000</v>
      </c>
      <c r="I921" s="11" t="inlineStr">
        <is>
          <t>Mr. Md. Machhud Rana</t>
        </is>
      </c>
      <c r="J921" s="10">
        <f>IF(K921&gt;0, "Completed", "Pending")</f>
        <v/>
      </c>
      <c r="K921" s="10">
        <f>COUNTIF('Survey Responses'!F:F, F921)</f>
        <v/>
      </c>
    </row>
    <row r="922">
      <c r="A922" s="10" t="n">
        <v>921</v>
      </c>
      <c r="B922" s="11" t="inlineStr">
        <is>
          <t>Dhaka-I (GEN-A)</t>
        </is>
      </c>
      <c r="C922" s="11" t="inlineStr">
        <is>
          <t>Mr. Md. Zahirul Islam</t>
        </is>
      </c>
      <c r="D922" s="11" t="inlineStr">
        <is>
          <t>Dhaka GEN-A-20</t>
        </is>
      </c>
      <c r="E922" s="11" t="inlineStr">
        <is>
          <t>Mr. Shohrab Hossain</t>
        </is>
      </c>
      <c r="F922" s="10" t="n">
        <v>10008</v>
      </c>
      <c r="G922" s="11" t="inlineStr">
        <is>
          <t>Khidmah Hospital</t>
        </is>
      </c>
      <c r="H922" s="10" t="n">
        <v>5916</v>
      </c>
      <c r="I922" s="11" t="inlineStr">
        <is>
          <t>Mr. Md. Sanoar Hossain</t>
        </is>
      </c>
      <c r="J922" s="10">
        <f>IF(K922&gt;0, "Completed", "Pending")</f>
        <v/>
      </c>
      <c r="K922" s="10">
        <f>COUNTIF('Survey Responses'!F:F, F922)</f>
        <v/>
      </c>
    </row>
    <row r="923">
      <c r="A923" s="10" t="n">
        <v>922</v>
      </c>
      <c r="B923" s="11" t="inlineStr">
        <is>
          <t>Dhaka-I (GEN-A)</t>
        </is>
      </c>
      <c r="C923" s="11" t="inlineStr">
        <is>
          <t>Mr. Md. Zahirul Islam</t>
        </is>
      </c>
      <c r="D923" s="11" t="inlineStr">
        <is>
          <t>Dhaka GEN-A-20</t>
        </is>
      </c>
      <c r="E923" s="11" t="inlineStr">
        <is>
          <t>Mr. Shohrab Hossain</t>
        </is>
      </c>
      <c r="F923" s="10" t="n">
        <v>14840</v>
      </c>
      <c r="G923" s="11" t="inlineStr">
        <is>
          <t>Khidmah Hospital-2</t>
        </is>
      </c>
      <c r="H923" s="10" t="n">
        <v>8930</v>
      </c>
      <c r="I923" s="11" t="inlineStr">
        <is>
          <t>Mr. Md. Shamim Gazi</t>
        </is>
      </c>
      <c r="J923" s="10">
        <f>IF(K923&gt;0, "Completed", "Pending")</f>
        <v/>
      </c>
      <c r="K923" s="10">
        <f>COUNTIF('Survey Responses'!F:F, F923)</f>
        <v/>
      </c>
    </row>
    <row r="924">
      <c r="A924" s="10" t="n">
        <v>923</v>
      </c>
      <c r="B924" s="11" t="inlineStr">
        <is>
          <t>Dhaka-I (GEN-A)</t>
        </is>
      </c>
      <c r="C924" s="11" t="inlineStr">
        <is>
          <t>Mr. Md. Zahirul Islam</t>
        </is>
      </c>
      <c r="D924" s="11" t="inlineStr">
        <is>
          <t>Dhaka GEN-A-23</t>
        </is>
      </c>
      <c r="E924" s="11" t="inlineStr">
        <is>
          <t>Mr. Zahid Khan</t>
        </is>
      </c>
      <c r="F924" s="10" t="n">
        <v>10728</v>
      </c>
      <c r="G924" s="11" t="inlineStr">
        <is>
          <t>Ashiyan-Khilkhet</t>
        </is>
      </c>
      <c r="H924" s="10" t="n">
        <v>658</v>
      </c>
      <c r="I924" s="11" t="inlineStr">
        <is>
          <t>Md. Shamimur Rahman</t>
        </is>
      </c>
      <c r="J924" s="10">
        <f>IF(K924&gt;0, "Completed", "Pending")</f>
        <v/>
      </c>
      <c r="K924" s="10">
        <f>COUNTIF('Survey Responses'!F:F, F924)</f>
        <v/>
      </c>
    </row>
    <row r="925">
      <c r="A925" s="10" t="n">
        <v>924</v>
      </c>
      <c r="B925" s="11" t="inlineStr">
        <is>
          <t>Dhaka-I (GEN-A)</t>
        </is>
      </c>
      <c r="C925" s="11" t="inlineStr">
        <is>
          <t>Mr. Md. Zahirul Islam</t>
        </is>
      </c>
      <c r="D925" s="11" t="inlineStr">
        <is>
          <t>Dhaka GEN-A-23</t>
        </is>
      </c>
      <c r="E925" s="11" t="inlineStr">
        <is>
          <t>Mr. Zahid Khan</t>
        </is>
      </c>
      <c r="F925" s="10" t="n">
        <v>12673</v>
      </c>
      <c r="G925" s="11" t="inlineStr">
        <is>
          <t>Ashiyan-Khilkhet-2</t>
        </is>
      </c>
      <c r="H925" s="10" t="n">
        <v>5132</v>
      </c>
      <c r="I925" s="11" t="inlineStr">
        <is>
          <t>Mr. Md. Parvej Ali</t>
        </is>
      </c>
      <c r="J925" s="10">
        <f>IF(K925&gt;0, "Completed", "Pending")</f>
        <v/>
      </c>
      <c r="K925" s="10">
        <f>COUNTIF('Survey Responses'!F:F, F925)</f>
        <v/>
      </c>
    </row>
    <row r="926">
      <c r="A926" s="10" t="n">
        <v>925</v>
      </c>
      <c r="B926" s="11" t="inlineStr">
        <is>
          <t>Dhaka-I (GEN-A)</t>
        </is>
      </c>
      <c r="C926" s="11" t="inlineStr">
        <is>
          <t>Mr. Md. Zahirul Islam</t>
        </is>
      </c>
      <c r="D926" s="11" t="inlineStr">
        <is>
          <t>Dhaka GEN-A-23</t>
        </is>
      </c>
      <c r="E926" s="11" t="inlineStr">
        <is>
          <t>Mr. Zahid Khan</t>
        </is>
      </c>
      <c r="F926" s="10" t="n">
        <v>10731</v>
      </c>
      <c r="G926" s="11" t="inlineStr">
        <is>
          <t>Ashiyan-Nikunja</t>
        </is>
      </c>
      <c r="H926" s="10" t="n">
        <v>7375</v>
      </c>
      <c r="I926" s="11" t="inlineStr">
        <is>
          <t>Mr. Sohag Molla</t>
        </is>
      </c>
      <c r="J926" s="10">
        <f>IF(K926&gt;0, "Completed", "Pending")</f>
        <v/>
      </c>
      <c r="K926" s="10">
        <f>COUNTIF('Survey Responses'!F:F, F926)</f>
        <v/>
      </c>
    </row>
    <row r="927">
      <c r="A927" s="10" t="n">
        <v>926</v>
      </c>
      <c r="B927" s="11" t="inlineStr">
        <is>
          <t>Dhaka-I (GEN-A)</t>
        </is>
      </c>
      <c r="C927" s="11" t="inlineStr">
        <is>
          <t>Mr. Md. Zahirul Islam</t>
        </is>
      </c>
      <c r="D927" s="11" t="inlineStr">
        <is>
          <t>Dhaka GEN-A-23</t>
        </is>
      </c>
      <c r="E927" s="11" t="inlineStr">
        <is>
          <t>Mr. Zahid Khan</t>
        </is>
      </c>
      <c r="F927" s="10" t="n">
        <v>14144</v>
      </c>
      <c r="G927" s="11" t="inlineStr">
        <is>
          <t>Kurmitola-bashundhara-1</t>
        </is>
      </c>
      <c r="H927" s="10" t="n">
        <v>7489</v>
      </c>
      <c r="I927" s="11" t="inlineStr">
        <is>
          <t>Mr. Md. Tohidul Islam</t>
        </is>
      </c>
      <c r="J927" s="10">
        <f>IF(K927&gt;0, "Completed", "Pending")</f>
        <v/>
      </c>
      <c r="K927" s="10">
        <f>COUNTIF('Survey Responses'!F:F, F927)</f>
        <v/>
      </c>
    </row>
    <row r="928">
      <c r="A928" s="10" t="n">
        <v>927</v>
      </c>
      <c r="B928" s="11" t="inlineStr">
        <is>
          <t>Dhaka-I (GEN-A)</t>
        </is>
      </c>
      <c r="C928" s="11" t="inlineStr">
        <is>
          <t>Mr. Md. Zahirul Islam</t>
        </is>
      </c>
      <c r="D928" s="11" t="inlineStr">
        <is>
          <t>Dhaka GEN-A-23</t>
        </is>
      </c>
      <c r="E928" s="11" t="inlineStr">
        <is>
          <t>Mr. Zahid Khan</t>
        </is>
      </c>
      <c r="F928" s="10" t="n">
        <v>10797</v>
      </c>
      <c r="G928" s="11" t="inlineStr">
        <is>
          <t>Kurmitola-Kuril-1</t>
        </is>
      </c>
      <c r="H928" s="10" t="n">
        <v>840</v>
      </c>
      <c r="I928" s="11" t="inlineStr">
        <is>
          <t>Md. Abdul Juwel Sarker</t>
        </is>
      </c>
      <c r="J928" s="10">
        <f>IF(K928&gt;0, "Completed", "Pending")</f>
        <v/>
      </c>
      <c r="K928" s="10">
        <f>COUNTIF('Survey Responses'!F:F, F928)</f>
        <v/>
      </c>
    </row>
    <row r="929">
      <c r="A929" s="10" t="n">
        <v>928</v>
      </c>
      <c r="B929" s="11" t="inlineStr">
        <is>
          <t>Dhaka-I (GEN-A)</t>
        </is>
      </c>
      <c r="C929" s="11" t="inlineStr">
        <is>
          <t>Mr. Md. Zahirul Islam</t>
        </is>
      </c>
      <c r="D929" s="11" t="inlineStr">
        <is>
          <t>Dhaka GEN-A-23</t>
        </is>
      </c>
      <c r="E929" s="11" t="inlineStr">
        <is>
          <t>Mr. Zahid Khan</t>
        </is>
      </c>
      <c r="F929" s="10" t="n">
        <v>10795</v>
      </c>
      <c r="G929" s="11" t="inlineStr">
        <is>
          <t>Kurmitola-Kuril-2</t>
        </is>
      </c>
      <c r="H929" s="10" t="n">
        <v>4998</v>
      </c>
      <c r="I929" s="11" t="inlineStr">
        <is>
          <t>Mr. Md. Akter Hossen</t>
        </is>
      </c>
      <c r="J929" s="10">
        <f>IF(K929&gt;0, "Completed", "Pending")</f>
        <v/>
      </c>
      <c r="K929" s="10">
        <f>COUNTIF('Survey Responses'!F:F, F929)</f>
        <v/>
      </c>
    </row>
    <row r="930">
      <c r="A930" s="10" t="n">
        <v>929</v>
      </c>
      <c r="B930" s="11" t="inlineStr">
        <is>
          <t>Dhaka-I (GEN-A)</t>
        </is>
      </c>
      <c r="C930" s="11" t="inlineStr">
        <is>
          <t>Mr. Md. Zahirul Islam</t>
        </is>
      </c>
      <c r="D930" s="11" t="inlineStr">
        <is>
          <t>Dhaka GEN-A-23</t>
        </is>
      </c>
      <c r="E930" s="11" t="inlineStr">
        <is>
          <t>Mr. Zahid Khan</t>
        </is>
      </c>
      <c r="F930" s="10" t="n">
        <v>12329</v>
      </c>
      <c r="G930" s="11" t="inlineStr">
        <is>
          <t>Kurmitola-Kuril-3</t>
        </is>
      </c>
      <c r="H930" s="10" t="n">
        <v>3700</v>
      </c>
      <c r="I930" s="11" t="inlineStr">
        <is>
          <t>Mr. Md. Abdur Rahman</t>
        </is>
      </c>
      <c r="J930" s="10">
        <f>IF(K930&gt;0, "Completed", "Pending")</f>
        <v/>
      </c>
      <c r="K930" s="10">
        <f>COUNTIF('Survey Responses'!F:F, F930)</f>
        <v/>
      </c>
    </row>
    <row r="931">
      <c r="A931" s="10" t="n">
        <v>930</v>
      </c>
      <c r="B931" s="11" t="inlineStr">
        <is>
          <t>Dhaka-I (GEN-A)</t>
        </is>
      </c>
      <c r="C931" s="11" t="inlineStr">
        <is>
          <t>Mr. Md. Zahirul Islam</t>
        </is>
      </c>
      <c r="D931" s="11" t="inlineStr">
        <is>
          <t>Dhaka GEN-A-26</t>
        </is>
      </c>
      <c r="E931" s="11" t="inlineStr">
        <is>
          <t>Md. Ariful Islam</t>
        </is>
      </c>
      <c r="F931" s="10" t="n">
        <v>14128</v>
      </c>
      <c r="G931" s="11" t="inlineStr">
        <is>
          <t>Aftabnagar-1</t>
        </is>
      </c>
      <c r="H931" s="10" t="n">
        <v>7425</v>
      </c>
      <c r="I931" s="11" t="inlineStr">
        <is>
          <t>Mr. Sayon Kumar Roy</t>
        </is>
      </c>
      <c r="J931" s="10">
        <f>IF(K931&gt;0, "Completed", "Pending")</f>
        <v/>
      </c>
      <c r="K931" s="10">
        <f>COUNTIF('Survey Responses'!F:F, F931)</f>
        <v/>
      </c>
    </row>
    <row r="932">
      <c r="A932" s="10" t="n">
        <v>931</v>
      </c>
      <c r="B932" s="11" t="inlineStr">
        <is>
          <t>Dhaka-I (GEN-A)</t>
        </is>
      </c>
      <c r="C932" s="11" t="inlineStr">
        <is>
          <t>Mr. Md. Zahirul Islam</t>
        </is>
      </c>
      <c r="D932" s="11" t="inlineStr">
        <is>
          <t>Dhaka GEN-A-26</t>
        </is>
      </c>
      <c r="E932" s="11" t="inlineStr">
        <is>
          <t>Md. Ariful Islam</t>
        </is>
      </c>
      <c r="F932" s="10" t="n">
        <v>10021</v>
      </c>
      <c r="G932" s="11" t="inlineStr">
        <is>
          <t>Badda-2</t>
        </is>
      </c>
      <c r="H932" s="10" t="n">
        <v>9052</v>
      </c>
      <c r="I932" s="11" t="inlineStr">
        <is>
          <t>Mr. Robin Ahmed</t>
        </is>
      </c>
      <c r="J932" s="10">
        <f>IF(K932&gt;0, "Completed", "Pending")</f>
        <v/>
      </c>
      <c r="K932" s="10">
        <f>COUNTIF('Survey Responses'!F:F, F932)</f>
        <v/>
      </c>
    </row>
    <row r="933">
      <c r="A933" s="10" t="n">
        <v>932</v>
      </c>
      <c r="B933" s="11" t="inlineStr">
        <is>
          <t>Dhaka-I (GEN-A)</t>
        </is>
      </c>
      <c r="C933" s="11" t="inlineStr">
        <is>
          <t>Mr. Md. Zahirul Islam</t>
        </is>
      </c>
      <c r="D933" s="11" t="inlineStr">
        <is>
          <t>Dhaka GEN-A-26</t>
        </is>
      </c>
      <c r="E933" s="11" t="inlineStr">
        <is>
          <t>Md. Ariful Islam</t>
        </is>
      </c>
      <c r="F933" s="10" t="n">
        <v>10024</v>
      </c>
      <c r="G933" s="11" t="inlineStr">
        <is>
          <t>Farmgate-Tejgaon</t>
        </is>
      </c>
      <c r="H933" s="10" t="n">
        <v>8594</v>
      </c>
      <c r="I933" s="11" t="inlineStr">
        <is>
          <t>Mr. Raju Ahmed</t>
        </is>
      </c>
      <c r="J933" s="10">
        <f>IF(K933&gt;0, "Completed", "Pending")</f>
        <v/>
      </c>
      <c r="K933" s="10">
        <f>COUNTIF('Survey Responses'!F:F, F933)</f>
        <v/>
      </c>
    </row>
    <row r="934">
      <c r="A934" s="10" t="n">
        <v>933</v>
      </c>
      <c r="B934" s="11" t="inlineStr">
        <is>
          <t>Dhaka-I (GEN-A)</t>
        </is>
      </c>
      <c r="C934" s="11" t="inlineStr">
        <is>
          <t>Mr. Md. Zahirul Islam</t>
        </is>
      </c>
      <c r="D934" s="11" t="inlineStr">
        <is>
          <t>Dhaka GEN-A-26</t>
        </is>
      </c>
      <c r="E934" s="11" t="inlineStr">
        <is>
          <t>Md. Ariful Islam</t>
        </is>
      </c>
      <c r="F934" s="10" t="n">
        <v>10023</v>
      </c>
      <c r="G934" s="11" t="inlineStr">
        <is>
          <t>Nakhal Para</t>
        </is>
      </c>
      <c r="H934" s="10" t="n">
        <v>6962</v>
      </c>
      <c r="I934" s="11" t="inlineStr">
        <is>
          <t>Mr. Md. Faysal Ahmed</t>
        </is>
      </c>
      <c r="J934" s="10">
        <f>IF(K934&gt;0, "Completed", "Pending")</f>
        <v/>
      </c>
      <c r="K934" s="10">
        <f>COUNTIF('Survey Responses'!F:F, F934)</f>
        <v/>
      </c>
    </row>
    <row r="935">
      <c r="A935" s="10" t="n">
        <v>934</v>
      </c>
      <c r="B935" s="11" t="inlineStr">
        <is>
          <t>Dhaka-I (GEN-A)</t>
        </is>
      </c>
      <c r="C935" s="11" t="inlineStr">
        <is>
          <t>Mr. Md. Zahirul Islam</t>
        </is>
      </c>
      <c r="D935" s="11" t="inlineStr">
        <is>
          <t>Dhaka GEN-A-26</t>
        </is>
      </c>
      <c r="E935" s="11" t="inlineStr">
        <is>
          <t>Md. Ariful Islam</t>
        </is>
      </c>
      <c r="F935" s="10" t="n">
        <v>12278</v>
      </c>
      <c r="G935" s="11" t="inlineStr">
        <is>
          <t>Nakhal Para-2</t>
        </is>
      </c>
      <c r="H935" s="10" t="n">
        <v>7222</v>
      </c>
      <c r="I935" s="11" t="inlineStr">
        <is>
          <t>Mr. Menar Hosen</t>
        </is>
      </c>
      <c r="J935" s="10">
        <f>IF(K935&gt;0, "Completed", "Pending")</f>
        <v/>
      </c>
      <c r="K935" s="10">
        <f>COUNTIF('Survey Responses'!F:F, F935)</f>
        <v/>
      </c>
    </row>
    <row r="936">
      <c r="A936" s="10" t="n">
        <v>935</v>
      </c>
      <c r="B936" s="11" t="inlineStr">
        <is>
          <t>Dhaka-I (GEN-A)</t>
        </is>
      </c>
      <c r="C936" s="11" t="inlineStr">
        <is>
          <t>Mr. Md. Zahirul Islam</t>
        </is>
      </c>
      <c r="D936" s="11" t="inlineStr">
        <is>
          <t>Dhaka GEN-A-26</t>
        </is>
      </c>
      <c r="E936" s="11" t="inlineStr">
        <is>
          <t>Md. Ariful Islam</t>
        </is>
      </c>
      <c r="F936" s="10" t="n">
        <v>10025</v>
      </c>
      <c r="G936" s="11" t="inlineStr">
        <is>
          <t>Rampura-Banasree-2</t>
        </is>
      </c>
      <c r="H936" s="10" t="n">
        <v>8786</v>
      </c>
      <c r="I936" s="11" t="inlineStr">
        <is>
          <t>Mr. Md. Ahsan Habib</t>
        </is>
      </c>
      <c r="J936" s="10">
        <f>IF(K936&gt;0, "Completed", "Pending")</f>
        <v/>
      </c>
      <c r="K936" s="10">
        <f>COUNTIF('Survey Responses'!F:F, F936)</f>
        <v/>
      </c>
    </row>
    <row r="937">
      <c r="A937" s="10" t="n">
        <v>936</v>
      </c>
      <c r="B937" s="11" t="inlineStr">
        <is>
          <t>Dhaka-I (GEN-A)</t>
        </is>
      </c>
      <c r="C937" s="11" t="inlineStr">
        <is>
          <t>Mr. Md. Zahirul Islam</t>
        </is>
      </c>
      <c r="D937" s="11" t="inlineStr">
        <is>
          <t>Dhaka GEN-A-26</t>
        </is>
      </c>
      <c r="E937" s="11" t="inlineStr">
        <is>
          <t>Md. Ariful Islam</t>
        </is>
      </c>
      <c r="F937" s="10" t="n">
        <v>10022</v>
      </c>
      <c r="G937" s="11" t="inlineStr">
        <is>
          <t>Rampura-DIT</t>
        </is>
      </c>
      <c r="H937" s="10" t="n">
        <v>1954</v>
      </c>
      <c r="I937" s="11" t="inlineStr">
        <is>
          <t>Md. Mominul Islam</t>
        </is>
      </c>
      <c r="J937" s="10">
        <f>IF(K937&gt;0, "Completed", "Pending")</f>
        <v/>
      </c>
      <c r="K937" s="10">
        <f>COUNTIF('Survey Responses'!F:F, F937)</f>
        <v/>
      </c>
    </row>
    <row r="938">
      <c r="A938" s="10" t="n">
        <v>937</v>
      </c>
      <c r="B938" s="11" t="inlineStr">
        <is>
          <t>Dhaka-I (GEN-A)</t>
        </is>
      </c>
      <c r="C938" s="11" t="inlineStr">
        <is>
          <t>Mr. Md. Zahirul Islam</t>
        </is>
      </c>
      <c r="D938" s="11" t="inlineStr">
        <is>
          <t>Dhaka GEN-A-28</t>
        </is>
      </c>
      <c r="E938" s="11" t="inlineStr">
        <is>
          <t>Md. Riaz Uddin</t>
        </is>
      </c>
      <c r="F938" s="10" t="n">
        <v>10580</v>
      </c>
      <c r="G938" s="11" t="inlineStr">
        <is>
          <t>BIRDEM-Malibag</t>
        </is>
      </c>
      <c r="H938" s="10" t="n">
        <v>2842</v>
      </c>
      <c r="I938" s="11" t="inlineStr">
        <is>
          <t>Md. Zihadul Kabir</t>
        </is>
      </c>
      <c r="J938" s="10">
        <f>IF(K938&gt;0, "Completed", "Pending")</f>
        <v/>
      </c>
      <c r="K938" s="10">
        <f>COUNTIF('Survey Responses'!F:F, F938)</f>
        <v/>
      </c>
    </row>
    <row r="939">
      <c r="A939" s="10" t="n">
        <v>938</v>
      </c>
      <c r="B939" s="11" t="inlineStr">
        <is>
          <t>Dhaka-I (GEN-A)</t>
        </is>
      </c>
      <c r="C939" s="11" t="inlineStr">
        <is>
          <t>Mr. Md. Zahirul Islam</t>
        </is>
      </c>
      <c r="D939" s="11" t="inlineStr">
        <is>
          <t>Dhaka GEN-A-28</t>
        </is>
      </c>
      <c r="E939" s="11" t="inlineStr">
        <is>
          <t>Md. Riaz Uddin</t>
        </is>
      </c>
      <c r="F939" s="10" t="n">
        <v>10595</v>
      </c>
      <c r="G939" s="11" t="inlineStr">
        <is>
          <t>IBH-Arambag</t>
        </is>
      </c>
      <c r="H939" s="10" t="n">
        <v>5492</v>
      </c>
      <c r="I939" s="11" t="inlineStr">
        <is>
          <t>Mr. Md. Asaduzzaman</t>
        </is>
      </c>
      <c r="J939" s="10">
        <f>IF(K939&gt;0, "Completed", "Pending")</f>
        <v/>
      </c>
      <c r="K939" s="10">
        <f>COUNTIF('Survey Responses'!F:F, F939)</f>
        <v/>
      </c>
    </row>
    <row r="940">
      <c r="A940" s="10" t="n">
        <v>939</v>
      </c>
      <c r="B940" s="11" t="inlineStr">
        <is>
          <t>Dhaka-I (GEN-A)</t>
        </is>
      </c>
      <c r="C940" s="11" t="inlineStr">
        <is>
          <t>Mr. Md. Zahirul Islam</t>
        </is>
      </c>
      <c r="D940" s="11" t="inlineStr">
        <is>
          <t>Dhaka GEN-A-28</t>
        </is>
      </c>
      <c r="E940" s="11" t="inlineStr">
        <is>
          <t>Md. Riaz Uddin</t>
        </is>
      </c>
      <c r="F940" s="10" t="n">
        <v>10592</v>
      </c>
      <c r="G940" s="11" t="inlineStr">
        <is>
          <t>IBH-Baraka</t>
        </is>
      </c>
      <c r="H940" s="10" t="n">
        <v>2130</v>
      </c>
      <c r="I940" s="11" t="inlineStr">
        <is>
          <t>Kazem Uddin</t>
        </is>
      </c>
      <c r="J940" s="10">
        <f>IF(K940&gt;0, "Completed", "Pending")</f>
        <v/>
      </c>
      <c r="K940" s="10">
        <f>COUNTIF('Survey Responses'!F:F, F940)</f>
        <v/>
      </c>
    </row>
    <row r="941">
      <c r="A941" s="10" t="n">
        <v>940</v>
      </c>
      <c r="B941" s="11" t="inlineStr">
        <is>
          <t>Dhaka-I (GEN-A)</t>
        </is>
      </c>
      <c r="C941" s="11" t="inlineStr">
        <is>
          <t>Mr. Md. Zahirul Islam</t>
        </is>
      </c>
      <c r="D941" s="11" t="inlineStr">
        <is>
          <t>Dhaka GEN-A-28</t>
        </is>
      </c>
      <c r="E941" s="11" t="inlineStr">
        <is>
          <t>Md. Riaz Uddin</t>
        </is>
      </c>
      <c r="F941" s="10" t="n">
        <v>10593</v>
      </c>
      <c r="G941" s="11" t="inlineStr">
        <is>
          <t>Medinova-Malibagh</t>
        </is>
      </c>
      <c r="H941" s="10" t="n">
        <v>2240</v>
      </c>
      <c r="I941" s="11" t="inlineStr">
        <is>
          <t>Sujit Chandra Mondal</t>
        </is>
      </c>
      <c r="J941" s="10">
        <f>IF(K941&gt;0, "Completed", "Pending")</f>
        <v/>
      </c>
      <c r="K941" s="10">
        <f>COUNTIF('Survey Responses'!F:F, F941)</f>
        <v/>
      </c>
    </row>
    <row r="942">
      <c r="A942" s="10" t="n">
        <v>941</v>
      </c>
      <c r="B942" s="11" t="inlineStr">
        <is>
          <t>Dhaka-I (GEN-A)</t>
        </is>
      </c>
      <c r="C942" s="11" t="inlineStr">
        <is>
          <t>Mr. Md. Zahirul Islam</t>
        </is>
      </c>
      <c r="D942" s="11" t="inlineStr">
        <is>
          <t>Dhaka GEN-A-28</t>
        </is>
      </c>
      <c r="E942" s="11" t="inlineStr">
        <is>
          <t>Md. Riaz Uddin</t>
        </is>
      </c>
      <c r="F942" s="10" t="n">
        <v>10001</v>
      </c>
      <c r="G942" s="11" t="inlineStr">
        <is>
          <t>Mugda-1</t>
        </is>
      </c>
      <c r="H942" s="10" t="n">
        <v>3041</v>
      </c>
      <c r="I942" s="11" t="inlineStr">
        <is>
          <t>Md. Abu Rayhan</t>
        </is>
      </c>
      <c r="J942" s="10">
        <f>IF(K942&gt;0, "Completed", "Pending")</f>
        <v/>
      </c>
      <c r="K942" s="10">
        <f>COUNTIF('Survey Responses'!F:F, F942)</f>
        <v/>
      </c>
    </row>
    <row r="943">
      <c r="A943" s="10" t="n">
        <v>942</v>
      </c>
      <c r="B943" s="11" t="inlineStr">
        <is>
          <t>Dhaka-I (GEN-A)</t>
        </is>
      </c>
      <c r="C943" s="11" t="inlineStr">
        <is>
          <t>Mr. Md. Zahirul Islam</t>
        </is>
      </c>
      <c r="D943" s="11" t="inlineStr">
        <is>
          <t>Dhaka GEN-A-28</t>
        </is>
      </c>
      <c r="E943" s="11" t="inlineStr">
        <is>
          <t>Md. Riaz Uddin</t>
        </is>
      </c>
      <c r="F943" s="10" t="n">
        <v>10003</v>
      </c>
      <c r="G943" s="11" t="inlineStr">
        <is>
          <t>Mugda-2</t>
        </is>
      </c>
      <c r="H943" s="10" t="n">
        <v>7142</v>
      </c>
      <c r="I943" s="11" t="inlineStr">
        <is>
          <t>Mr. Kamol Chandra Roy</t>
        </is>
      </c>
      <c r="J943" s="10">
        <f>IF(K943&gt;0, "Completed", "Pending")</f>
        <v/>
      </c>
      <c r="K943" s="10">
        <f>COUNTIF('Survey Responses'!F:F, F943)</f>
        <v/>
      </c>
    </row>
    <row r="944">
      <c r="A944" s="10" t="n">
        <v>943</v>
      </c>
      <c r="B944" s="11" t="inlineStr">
        <is>
          <t>Dhaka-I (GEN-A)</t>
        </is>
      </c>
      <c r="C944" s="11" t="inlineStr">
        <is>
          <t>Mr. Md. Zahirul Islam</t>
        </is>
      </c>
      <c r="D944" s="11" t="inlineStr">
        <is>
          <t>Dhaka GEN-A-28</t>
        </is>
      </c>
      <c r="E944" s="11" t="inlineStr">
        <is>
          <t>Md. Riaz Uddin</t>
        </is>
      </c>
      <c r="F944" s="10" t="n">
        <v>14856</v>
      </c>
      <c r="G944" s="11" t="inlineStr">
        <is>
          <t>Mugda-3</t>
        </is>
      </c>
      <c r="H944" s="10" t="n">
        <v>8972</v>
      </c>
      <c r="I944" s="11" t="inlineStr">
        <is>
          <t>Mr. Md. Rokonuzzaman</t>
        </is>
      </c>
      <c r="J944" s="10">
        <f>IF(K944&gt;0, "Completed", "Pending")</f>
        <v/>
      </c>
      <c r="K944" s="10">
        <f>COUNTIF('Survey Responses'!F:F, F944)</f>
        <v/>
      </c>
    </row>
    <row r="945">
      <c r="A945" s="10" t="n">
        <v>944</v>
      </c>
      <c r="B945" s="11" t="inlineStr">
        <is>
          <t>Dhaka-I (GEN-A)</t>
        </is>
      </c>
      <c r="C945" s="11" t="inlineStr">
        <is>
          <t>Mr. Md. Zahirul Islam</t>
        </is>
      </c>
      <c r="D945" s="11" t="inlineStr">
        <is>
          <t>Dhaka GEN-A-3</t>
        </is>
      </c>
      <c r="E945" s="11" t="inlineStr">
        <is>
          <t>Mr. Md. Faruque Hossain</t>
        </is>
      </c>
      <c r="F945" s="10" t="n">
        <v>10004</v>
      </c>
      <c r="G945" s="11" t="inlineStr">
        <is>
          <t>DMCH-Basabo</t>
        </is>
      </c>
      <c r="H945" s="10" t="n">
        <v>3133</v>
      </c>
      <c r="I945" s="11" t="inlineStr">
        <is>
          <t>Md. Rashedunnabi</t>
        </is>
      </c>
      <c r="J945" s="10">
        <f>IF(K945&gt;0, "Completed", "Pending")</f>
        <v/>
      </c>
      <c r="K945" s="10">
        <f>COUNTIF('Survey Responses'!F:F, F945)</f>
        <v/>
      </c>
    </row>
    <row r="946">
      <c r="A946" s="10" t="n">
        <v>945</v>
      </c>
      <c r="B946" s="11" t="inlineStr">
        <is>
          <t>Dhaka-I (GEN-A)</t>
        </is>
      </c>
      <c r="C946" s="11" t="inlineStr">
        <is>
          <t>Mr. Md. Zahirul Islam</t>
        </is>
      </c>
      <c r="D946" s="11" t="inlineStr">
        <is>
          <t>Dhaka GEN-A-3</t>
        </is>
      </c>
      <c r="E946" s="11" t="inlineStr">
        <is>
          <t>Mr. Md. Faruque Hossain</t>
        </is>
      </c>
      <c r="F946" s="10" t="n">
        <v>10012</v>
      </c>
      <c r="G946" s="11" t="inlineStr">
        <is>
          <t>DMCH-Goran</t>
        </is>
      </c>
      <c r="H946" s="10" t="n">
        <v>1796</v>
      </c>
      <c r="I946" s="11" t="inlineStr">
        <is>
          <t>Md. Mizanur Rahman</t>
        </is>
      </c>
      <c r="J946" s="10">
        <f>IF(K946&gt;0, "Completed", "Pending")</f>
        <v/>
      </c>
      <c r="K946" s="10">
        <f>COUNTIF('Survey Responses'!F:F, F946)</f>
        <v/>
      </c>
    </row>
    <row r="947">
      <c r="A947" s="10" t="n">
        <v>946</v>
      </c>
      <c r="B947" s="11" t="inlineStr">
        <is>
          <t>Dhaka-I (GEN-A)</t>
        </is>
      </c>
      <c r="C947" s="11" t="inlineStr">
        <is>
          <t>Mr. Md. Zahirul Islam</t>
        </is>
      </c>
      <c r="D947" s="11" t="inlineStr">
        <is>
          <t>Dhaka GEN-A-3</t>
        </is>
      </c>
      <c r="E947" s="11" t="inlineStr">
        <is>
          <t>Mr. Md. Faruque Hossain</t>
        </is>
      </c>
      <c r="F947" s="10" t="n">
        <v>10005</v>
      </c>
      <c r="G947" s="11" t="inlineStr">
        <is>
          <t>DMCH-Kadamtola</t>
        </is>
      </c>
      <c r="H947" s="10" t="n">
        <v>8728</v>
      </c>
      <c r="I947" s="11" t="inlineStr">
        <is>
          <t>Mr. Md. Abdul Jalil</t>
        </is>
      </c>
      <c r="J947" s="10">
        <f>IF(K947&gt;0, "Completed", "Pending")</f>
        <v/>
      </c>
      <c r="K947" s="10">
        <f>COUNTIF('Survey Responses'!F:F, F947)</f>
        <v/>
      </c>
    </row>
    <row r="948">
      <c r="A948" s="10" t="n">
        <v>947</v>
      </c>
      <c r="B948" s="11" t="inlineStr">
        <is>
          <t>Dhaka-I (GEN-A)</t>
        </is>
      </c>
      <c r="C948" s="11" t="inlineStr">
        <is>
          <t>Mr. Md. Zahirul Islam</t>
        </is>
      </c>
      <c r="D948" s="11" t="inlineStr">
        <is>
          <t>Dhaka GEN-A-3</t>
        </is>
      </c>
      <c r="E948" s="11" t="inlineStr">
        <is>
          <t>Mr. Md. Faruque Hossain</t>
        </is>
      </c>
      <c r="F948" s="10" t="n">
        <v>10002</v>
      </c>
      <c r="G948" s="11" t="inlineStr">
        <is>
          <t>DMCH-Mathertake-Nondipara</t>
        </is>
      </c>
      <c r="H948" s="10" t="n">
        <v>7223</v>
      </c>
      <c r="I948" s="11" t="inlineStr">
        <is>
          <t>Mr. Md. Rabbi All Imran</t>
        </is>
      </c>
      <c r="J948" s="10">
        <f>IF(K948&gt;0, "Completed", "Pending")</f>
        <v/>
      </c>
      <c r="K948" s="10">
        <f>COUNTIF('Survey Responses'!F:F, F948)</f>
        <v/>
      </c>
    </row>
    <row r="949">
      <c r="A949" s="10" t="n">
        <v>948</v>
      </c>
      <c r="B949" s="11" t="inlineStr">
        <is>
          <t>Dhaka-I (GEN-A)</t>
        </is>
      </c>
      <c r="C949" s="11" t="inlineStr">
        <is>
          <t>Mr. Md. Zahirul Islam</t>
        </is>
      </c>
      <c r="D949" s="11" t="inlineStr">
        <is>
          <t>Dhaka GEN-A-3</t>
        </is>
      </c>
      <c r="E949" s="11" t="inlineStr">
        <is>
          <t>Mr. Md. Faruque Hossain</t>
        </is>
      </c>
      <c r="F949" s="10" t="n">
        <v>10006</v>
      </c>
      <c r="G949" s="11" t="inlineStr">
        <is>
          <t>MMCH-Mathertake</t>
        </is>
      </c>
      <c r="H949" s="10" t="n">
        <v>1465</v>
      </c>
      <c r="I949" s="11" t="inlineStr">
        <is>
          <t>Md. Anisur Rahman</t>
        </is>
      </c>
      <c r="J949" s="10">
        <f>IF(K949&gt;0, "Completed", "Pending")</f>
        <v/>
      </c>
      <c r="K949" s="10">
        <f>COUNTIF('Survey Responses'!F:F, F949)</f>
        <v/>
      </c>
    </row>
    <row r="950">
      <c r="A950" s="10" t="n">
        <v>949</v>
      </c>
      <c r="B950" s="11" t="inlineStr">
        <is>
          <t>Dhaka-I (GEN-A)</t>
        </is>
      </c>
      <c r="C950" s="11" t="inlineStr">
        <is>
          <t>Mr. Md. Zahirul Islam</t>
        </is>
      </c>
      <c r="D950" s="11" t="inlineStr">
        <is>
          <t>Dhaka GEN-A-3</t>
        </is>
      </c>
      <c r="E950" s="11" t="inlineStr">
        <is>
          <t>Mr. Md. Faruque Hossain</t>
        </is>
      </c>
      <c r="F950" s="10" t="n">
        <v>14839</v>
      </c>
      <c r="G950" s="11" t="inlineStr">
        <is>
          <t>MMCH-Mathertake-2</t>
        </is>
      </c>
      <c r="H950" s="10" t="n">
        <v>8929</v>
      </c>
      <c r="I950" s="11" t="inlineStr">
        <is>
          <t>Mr. Md. Sajeeb Rana</t>
        </is>
      </c>
      <c r="J950" s="10">
        <f>IF(K950&gt;0, "Completed", "Pending")</f>
        <v/>
      </c>
      <c r="K950" s="10">
        <f>COUNTIF('Survey Responses'!F:F, F950)</f>
        <v/>
      </c>
    </row>
    <row r="951">
      <c r="A951" s="10" t="n">
        <v>950</v>
      </c>
      <c r="B951" s="11" t="inlineStr">
        <is>
          <t>Dhaka-I (GEN-A)</t>
        </is>
      </c>
      <c r="C951" s="11" t="inlineStr">
        <is>
          <t>Mr. Md. Zahirul Islam</t>
        </is>
      </c>
      <c r="D951" s="11" t="inlineStr">
        <is>
          <t>Dhaka GEN-A-3</t>
        </is>
      </c>
      <c r="E951" s="11" t="inlineStr">
        <is>
          <t>Mr. Md. Faruque Hossain</t>
        </is>
      </c>
      <c r="F951" s="10" t="n">
        <v>12334</v>
      </c>
      <c r="G951" s="11" t="inlineStr">
        <is>
          <t>MMCH-Nandipara</t>
        </is>
      </c>
      <c r="H951" s="10" t="n">
        <v>3708</v>
      </c>
      <c r="I951" s="11" t="inlineStr">
        <is>
          <t>Mr. Md. A. Rahim</t>
        </is>
      </c>
      <c r="J951" s="10">
        <f>IF(K951&gt;0, "Completed", "Pending")</f>
        <v/>
      </c>
      <c r="K951" s="10">
        <f>COUNTIF('Survey Responses'!F:F, F951)</f>
        <v/>
      </c>
    </row>
    <row r="952">
      <c r="A952" s="10" t="n">
        <v>951</v>
      </c>
      <c r="B952" s="11" t="inlineStr">
        <is>
          <t>Gazipur (GEN-A)</t>
        </is>
      </c>
      <c r="C952" s="11" t="inlineStr">
        <is>
          <t>Mr. Hossain Md. Kawsar</t>
        </is>
      </c>
      <c r="D952" s="11" t="inlineStr">
        <is>
          <t>Bhaluka GEN-A-1</t>
        </is>
      </c>
      <c r="E952" s="11" t="inlineStr">
        <is>
          <t>Mr. Bipul Kanti Roy</t>
        </is>
      </c>
      <c r="F952" s="10" t="n">
        <v>10776</v>
      </c>
      <c r="G952" s="11" t="inlineStr">
        <is>
          <t>Bhaluka-Digital Hospital</t>
        </is>
      </c>
      <c r="H952" s="10" t="n">
        <v>3088</v>
      </c>
      <c r="I952" s="11" t="inlineStr">
        <is>
          <t>Apurba Nandi</t>
        </is>
      </c>
      <c r="J952" s="10">
        <f>IF(K952&gt;0, "Completed", "Pending")</f>
        <v/>
      </c>
      <c r="K952" s="10">
        <f>COUNTIF('Survey Responses'!F:F, F952)</f>
        <v/>
      </c>
    </row>
    <row r="953">
      <c r="A953" s="10" t="n">
        <v>952</v>
      </c>
      <c r="B953" s="11" t="inlineStr">
        <is>
          <t>Gazipur (GEN-A)</t>
        </is>
      </c>
      <c r="C953" s="11" t="inlineStr">
        <is>
          <t>Mr. Hossain Md. Kawsar</t>
        </is>
      </c>
      <c r="D953" s="11" t="inlineStr">
        <is>
          <t>Bhaluka GEN-A-1</t>
        </is>
      </c>
      <c r="E953" s="11" t="inlineStr">
        <is>
          <t>Mr. Bipul Kanti Roy</t>
        </is>
      </c>
      <c r="F953" s="10" t="n">
        <v>10780</v>
      </c>
      <c r="G953" s="11" t="inlineStr">
        <is>
          <t>Bhaluka-Mahir Lab Hospital</t>
        </is>
      </c>
      <c r="H953" s="10" t="n">
        <v>4142</v>
      </c>
      <c r="I953" s="11" t="inlineStr">
        <is>
          <t>Mr. Md. Julfikar Ali</t>
        </is>
      </c>
      <c r="J953" s="10">
        <f>IF(K953&gt;0, "Completed", "Pending")</f>
        <v/>
      </c>
      <c r="K953" s="10">
        <f>COUNTIF('Survey Responses'!F:F, F953)</f>
        <v/>
      </c>
    </row>
    <row r="954">
      <c r="A954" s="10" t="n">
        <v>953</v>
      </c>
      <c r="B954" s="11" t="inlineStr">
        <is>
          <t>Gazipur (GEN-A)</t>
        </is>
      </c>
      <c r="C954" s="11" t="inlineStr">
        <is>
          <t>Mr. Hossain Md. Kawsar</t>
        </is>
      </c>
      <c r="D954" s="11" t="inlineStr">
        <is>
          <t>Bhaluka GEN-A-1</t>
        </is>
      </c>
      <c r="E954" s="11" t="inlineStr">
        <is>
          <t>Mr. Bipul Kanti Roy</t>
        </is>
      </c>
      <c r="F954" s="10" t="n">
        <v>10779</v>
      </c>
      <c r="G954" s="11" t="inlineStr">
        <is>
          <t>Bhaluka-Mohammadia Model Hospital</t>
        </is>
      </c>
      <c r="H954" s="10" t="n">
        <v>2922</v>
      </c>
      <c r="I954" s="11" t="inlineStr">
        <is>
          <t>Md. Sabuz Ali</t>
        </is>
      </c>
      <c r="J954" s="10">
        <f>IF(K954&gt;0, "Completed", "Pending")</f>
        <v/>
      </c>
      <c r="K954" s="10">
        <f>COUNTIF('Survey Responses'!F:F, F954)</f>
        <v/>
      </c>
    </row>
    <row r="955">
      <c r="A955" s="10" t="n">
        <v>954</v>
      </c>
      <c r="B955" s="11" t="inlineStr">
        <is>
          <t>Gazipur (GEN-A)</t>
        </is>
      </c>
      <c r="C955" s="11" t="inlineStr">
        <is>
          <t>Mr. Hossain Md. Kawsar</t>
        </is>
      </c>
      <c r="D955" s="11" t="inlineStr">
        <is>
          <t>Bhaluka GEN-A-1</t>
        </is>
      </c>
      <c r="E955" s="11" t="inlineStr">
        <is>
          <t>Mr. Bipul Kanti Roy</t>
        </is>
      </c>
      <c r="F955" s="10" t="n">
        <v>10778</v>
      </c>
      <c r="G955" s="11" t="inlineStr">
        <is>
          <t>Seed Store-Masterbari-1</t>
        </is>
      </c>
      <c r="H955" s="10" t="n">
        <v>1659</v>
      </c>
      <c r="I955" s="11" t="inlineStr">
        <is>
          <t>Habibullah</t>
        </is>
      </c>
      <c r="J955" s="10">
        <f>IF(K955&gt;0, "Completed", "Pending")</f>
        <v/>
      </c>
      <c r="K955" s="10">
        <f>COUNTIF('Survey Responses'!F:F, F955)</f>
        <v/>
      </c>
    </row>
    <row r="956">
      <c r="A956" s="10" t="n">
        <v>955</v>
      </c>
      <c r="B956" s="11" t="inlineStr">
        <is>
          <t>Gazipur (GEN-A)</t>
        </is>
      </c>
      <c r="C956" s="11" t="inlineStr">
        <is>
          <t>Mr. Hossain Md. Kawsar</t>
        </is>
      </c>
      <c r="D956" s="11" t="inlineStr">
        <is>
          <t>Bhaluka GEN-A-1</t>
        </is>
      </c>
      <c r="E956" s="11" t="inlineStr">
        <is>
          <t>Mr. Bipul Kanti Roy</t>
        </is>
      </c>
      <c r="F956" s="10" t="n">
        <v>12276</v>
      </c>
      <c r="G956" s="11" t="inlineStr">
        <is>
          <t>Seed Store-Masterbari-2</t>
        </is>
      </c>
      <c r="H956" s="10" t="n">
        <v>3655</v>
      </c>
      <c r="I956" s="11" t="inlineStr">
        <is>
          <t>Mr. Md. Mahidul Islam</t>
        </is>
      </c>
      <c r="J956" s="10">
        <f>IF(K956&gt;0, "Completed", "Pending")</f>
        <v/>
      </c>
      <c r="K956" s="10">
        <f>COUNTIF('Survey Responses'!F:F, F956)</f>
        <v/>
      </c>
    </row>
    <row r="957">
      <c r="A957" s="10" t="n">
        <v>956</v>
      </c>
      <c r="B957" s="11" t="inlineStr">
        <is>
          <t>Gazipur (GEN-A)</t>
        </is>
      </c>
      <c r="C957" s="11" t="inlineStr">
        <is>
          <t>Mr. Hossain Md. Kawsar</t>
        </is>
      </c>
      <c r="D957" s="11" t="inlineStr">
        <is>
          <t>Bhaluka GEN-A-1</t>
        </is>
      </c>
      <c r="E957" s="11" t="inlineStr">
        <is>
          <t>Mr. Bipul Kanti Roy</t>
        </is>
      </c>
      <c r="F957" s="10" t="n">
        <v>14612</v>
      </c>
      <c r="G957" s="11" t="inlineStr">
        <is>
          <t>Seedstore</t>
        </is>
      </c>
      <c r="H957" s="10" t="n">
        <v>7692</v>
      </c>
      <c r="I957" s="11" t="inlineStr">
        <is>
          <t>Mr. Tariqul Islam</t>
        </is>
      </c>
      <c r="J957" s="10">
        <f>IF(K957&gt;0, "Completed", "Pending")</f>
        <v/>
      </c>
      <c r="K957" s="10">
        <f>COUNTIF('Survey Responses'!F:F, F957)</f>
        <v/>
      </c>
    </row>
    <row r="958">
      <c r="A958" s="10" t="n">
        <v>957</v>
      </c>
      <c r="B958" s="11" t="inlineStr">
        <is>
          <t>Gazipur (GEN-A)</t>
        </is>
      </c>
      <c r="C958" s="11" t="inlineStr">
        <is>
          <t>Mr. Hossain Md. Kawsar</t>
        </is>
      </c>
      <c r="D958" s="11" t="inlineStr">
        <is>
          <t>Bhaluka GEN-A-1</t>
        </is>
      </c>
      <c r="E958" s="11" t="inlineStr">
        <is>
          <t>Mr. Bipul Kanti Roy</t>
        </is>
      </c>
      <c r="F958" s="10" t="n">
        <v>12645</v>
      </c>
      <c r="G958" s="11" t="inlineStr">
        <is>
          <t>Uthura-1</t>
        </is>
      </c>
      <c r="H958" s="10" t="n">
        <v>1778</v>
      </c>
      <c r="I958" s="11" t="inlineStr">
        <is>
          <t>Md. Hasan Ali</t>
        </is>
      </c>
      <c r="J958" s="10">
        <f>IF(K958&gt;0, "Completed", "Pending")</f>
        <v/>
      </c>
      <c r="K958" s="10">
        <f>COUNTIF('Survey Responses'!F:F, F958)</f>
        <v/>
      </c>
    </row>
    <row r="959">
      <c r="A959" s="10" t="n">
        <v>958</v>
      </c>
      <c r="B959" s="11" t="inlineStr">
        <is>
          <t>Gazipur (GEN-A)</t>
        </is>
      </c>
      <c r="C959" s="11" t="inlineStr">
        <is>
          <t>Mr. Hossain Md. Kawsar</t>
        </is>
      </c>
      <c r="D959" s="11" t="inlineStr">
        <is>
          <t>Gafargaon GEN-A-1</t>
        </is>
      </c>
      <c r="E959" s="11" t="inlineStr">
        <is>
          <t>Md. Salauddin Yousuf</t>
        </is>
      </c>
      <c r="F959" s="10" t="n">
        <v>12563</v>
      </c>
      <c r="G959" s="11" t="inlineStr">
        <is>
          <t>Barmi-1</t>
        </is>
      </c>
      <c r="H959" s="10" t="n">
        <v>4141</v>
      </c>
      <c r="I959" s="11" t="inlineStr">
        <is>
          <t>Mr. Md. Bulu Mia</t>
        </is>
      </c>
      <c r="J959" s="10">
        <f>IF(K959&gt;0, "Completed", "Pending")</f>
        <v/>
      </c>
      <c r="K959" s="10">
        <f>COUNTIF('Survey Responses'!F:F, F959)</f>
        <v/>
      </c>
    </row>
    <row r="960">
      <c r="A960" s="10" t="n">
        <v>959</v>
      </c>
      <c r="B960" s="11" t="inlineStr">
        <is>
          <t>Gazipur (GEN-A)</t>
        </is>
      </c>
      <c r="C960" s="11" t="inlineStr">
        <is>
          <t>Mr. Hossain Md. Kawsar</t>
        </is>
      </c>
      <c r="D960" s="11" t="inlineStr">
        <is>
          <t>Gafargaon GEN-A-1</t>
        </is>
      </c>
      <c r="E960" s="11" t="inlineStr">
        <is>
          <t>Md. Salauddin Yousuf</t>
        </is>
      </c>
      <c r="F960" s="10" t="n">
        <v>14892</v>
      </c>
      <c r="G960" s="11" t="inlineStr">
        <is>
          <t>Gafargaon Health Complex</t>
        </is>
      </c>
      <c r="H960" s="10" t="n">
        <v>9066</v>
      </c>
      <c r="I960" s="11" t="inlineStr">
        <is>
          <t>Mr. Miraj Akon</t>
        </is>
      </c>
      <c r="J960" s="10">
        <f>IF(K960&gt;0, "Completed", "Pending")</f>
        <v/>
      </c>
      <c r="K960" s="10">
        <f>COUNTIF('Survey Responses'!F:F, F960)</f>
        <v/>
      </c>
    </row>
    <row r="961">
      <c r="A961" s="10" t="n">
        <v>960</v>
      </c>
      <c r="B961" s="11" t="inlineStr">
        <is>
          <t>Gazipur (GEN-A)</t>
        </is>
      </c>
      <c r="C961" s="11" t="inlineStr">
        <is>
          <t>Mr. Hossain Md. Kawsar</t>
        </is>
      </c>
      <c r="D961" s="11" t="inlineStr">
        <is>
          <t>Gafargaon GEN-A-1</t>
        </is>
      </c>
      <c r="E961" s="11" t="inlineStr">
        <is>
          <t>Md. Salauddin Yousuf</t>
        </is>
      </c>
      <c r="F961" s="10" t="n">
        <v>10781</v>
      </c>
      <c r="G961" s="11" t="inlineStr">
        <is>
          <t>Gafargaon-Diabetic Center</t>
        </is>
      </c>
      <c r="H961" s="10" t="n">
        <v>3946</v>
      </c>
      <c r="I961" s="11" t="inlineStr">
        <is>
          <t>Mr. Md. Moksedul Hasan</t>
        </is>
      </c>
      <c r="J961" s="10">
        <f>IF(K961&gt;0, "Completed", "Pending")</f>
        <v/>
      </c>
      <c r="K961" s="10">
        <f>COUNTIF('Survey Responses'!F:F, F961)</f>
        <v/>
      </c>
    </row>
    <row r="962">
      <c r="A962" s="10" t="n">
        <v>961</v>
      </c>
      <c r="B962" s="11" t="inlineStr">
        <is>
          <t>Gazipur (GEN-A)</t>
        </is>
      </c>
      <c r="C962" s="11" t="inlineStr">
        <is>
          <t>Mr. Hossain Md. Kawsar</t>
        </is>
      </c>
      <c r="D962" s="11" t="inlineStr">
        <is>
          <t>Gafargaon GEN-A-1</t>
        </is>
      </c>
      <c r="E962" s="11" t="inlineStr">
        <is>
          <t>Md. Salauddin Yousuf</t>
        </is>
      </c>
      <c r="F962" s="10" t="n">
        <v>10777</v>
      </c>
      <c r="G962" s="11" t="inlineStr">
        <is>
          <t>Gafargaon-General Hospital</t>
        </is>
      </c>
      <c r="H962" s="10" t="n">
        <v>762</v>
      </c>
      <c r="I962" s="11" t="inlineStr">
        <is>
          <t>Md. Abdul Motin</t>
        </is>
      </c>
      <c r="J962" s="10">
        <f>IF(K962&gt;0, "Completed", "Pending")</f>
        <v/>
      </c>
      <c r="K962" s="10">
        <f>COUNTIF('Survey Responses'!F:F, F962)</f>
        <v/>
      </c>
    </row>
    <row r="963">
      <c r="A963" s="10" t="n">
        <v>962</v>
      </c>
      <c r="B963" s="11" t="inlineStr">
        <is>
          <t>Gazipur (GEN-A)</t>
        </is>
      </c>
      <c r="C963" s="11" t="inlineStr">
        <is>
          <t>Mr. Hossain Md. Kawsar</t>
        </is>
      </c>
      <c r="D963" s="11" t="inlineStr">
        <is>
          <t>Gafargaon GEN-A-1</t>
        </is>
      </c>
      <c r="E963" s="11" t="inlineStr">
        <is>
          <t>Md. Salauddin Yousuf</t>
        </is>
      </c>
      <c r="F963" s="10" t="n">
        <v>12561</v>
      </c>
      <c r="G963" s="11" t="inlineStr">
        <is>
          <t>Jaina-1</t>
        </is>
      </c>
      <c r="H963" s="10" t="n">
        <v>3942</v>
      </c>
      <c r="I963" s="11" t="inlineStr">
        <is>
          <t>Mr. Mayedul Islam Shikdar</t>
        </is>
      </c>
      <c r="J963" s="10">
        <f>IF(K963&gt;0, "Completed", "Pending")</f>
        <v/>
      </c>
      <c r="K963" s="10">
        <f>COUNTIF('Survey Responses'!F:F, F963)</f>
        <v/>
      </c>
    </row>
    <row r="964">
      <c r="A964" s="10" t="n">
        <v>963</v>
      </c>
      <c r="B964" s="11" t="inlineStr">
        <is>
          <t>Gazipur (GEN-A)</t>
        </is>
      </c>
      <c r="C964" s="11" t="inlineStr">
        <is>
          <t>Mr. Hossain Md. Kawsar</t>
        </is>
      </c>
      <c r="D964" s="11" t="inlineStr">
        <is>
          <t>Gafargaon GEN-A-1</t>
        </is>
      </c>
      <c r="E964" s="11" t="inlineStr">
        <is>
          <t>Md. Salauddin Yousuf</t>
        </is>
      </c>
      <c r="F964" s="10" t="n">
        <v>12579</v>
      </c>
      <c r="G964" s="11" t="inlineStr">
        <is>
          <t>Kawraid-1</t>
        </is>
      </c>
      <c r="H964" s="10" t="n">
        <v>698</v>
      </c>
      <c r="I964" s="11" t="inlineStr">
        <is>
          <t>Ratan Chandra Sarker</t>
        </is>
      </c>
      <c r="J964" s="10">
        <f>IF(K964&gt;0, "Completed", "Pending")</f>
        <v/>
      </c>
      <c r="K964" s="10">
        <f>COUNTIF('Survey Responses'!F:F, F964)</f>
        <v/>
      </c>
    </row>
    <row r="965">
      <c r="A965" s="10" t="n">
        <v>964</v>
      </c>
      <c r="B965" s="11" t="inlineStr">
        <is>
          <t>Gazipur (GEN-A)</t>
        </is>
      </c>
      <c r="C965" s="11" t="inlineStr">
        <is>
          <t>Mr. Hossain Md. Kawsar</t>
        </is>
      </c>
      <c r="D965" s="11" t="inlineStr">
        <is>
          <t>Gafargaon GEN-A-1</t>
        </is>
      </c>
      <c r="E965" s="11" t="inlineStr">
        <is>
          <t>Md. Salauddin Yousuf</t>
        </is>
      </c>
      <c r="F965" s="10" t="n">
        <v>14654</v>
      </c>
      <c r="G965" s="11" t="inlineStr">
        <is>
          <t>Kawraid-2</t>
        </is>
      </c>
      <c r="H965" s="10" t="n">
        <v>8316</v>
      </c>
      <c r="I965" s="11" t="inlineStr">
        <is>
          <t>Mr. Md. Rajoan Islam</t>
        </is>
      </c>
      <c r="J965" s="10">
        <f>IF(K965&gt;0, "Completed", "Pending")</f>
        <v/>
      </c>
      <c r="K965" s="10">
        <f>COUNTIF('Survey Responses'!F:F, F965)</f>
        <v/>
      </c>
    </row>
    <row r="966">
      <c r="A966" s="10" t="n">
        <v>965</v>
      </c>
      <c r="B966" s="11" t="inlineStr">
        <is>
          <t>Gazipur (GEN-A)</t>
        </is>
      </c>
      <c r="C966" s="11" t="inlineStr">
        <is>
          <t>Mr. Hossain Md. Kawsar</t>
        </is>
      </c>
      <c r="D966" s="11" t="inlineStr">
        <is>
          <t>Gazipur GEN-A-1</t>
        </is>
      </c>
      <c r="E966" s="11" t="inlineStr">
        <is>
          <t>Mr. Kazi Mokaram Hossain</t>
        </is>
      </c>
      <c r="F966" s="10" t="n">
        <v>10762</v>
      </c>
      <c r="G966" s="11" t="inlineStr">
        <is>
          <t>Gazipur-Alfa Diagnostic</t>
        </is>
      </c>
      <c r="H966" s="10" t="n">
        <v>9065</v>
      </c>
      <c r="I966" s="11" t="inlineStr">
        <is>
          <t>Mr. Rony Kumar Paul</t>
        </is>
      </c>
      <c r="J966" s="10">
        <f>IF(K966&gt;0, "Completed", "Pending")</f>
        <v/>
      </c>
      <c r="K966" s="10">
        <f>COUNTIF('Survey Responses'!F:F, F966)</f>
        <v/>
      </c>
    </row>
    <row r="967">
      <c r="A967" s="10" t="n">
        <v>966</v>
      </c>
      <c r="B967" s="11" t="inlineStr">
        <is>
          <t>Gazipur (GEN-A)</t>
        </is>
      </c>
      <c r="C967" s="11" t="inlineStr">
        <is>
          <t>Mr. Hossain Md. Kawsar</t>
        </is>
      </c>
      <c r="D967" s="11" t="inlineStr">
        <is>
          <t>Gazipur GEN-A-1</t>
        </is>
      </c>
      <c r="E967" s="11" t="inlineStr">
        <is>
          <t>Mr. Kazi Mokaram Hossain</t>
        </is>
      </c>
      <c r="F967" s="10" t="n">
        <v>10758</v>
      </c>
      <c r="G967" s="11" t="inlineStr">
        <is>
          <t>Gazipur-Diabetic Somitee</t>
        </is>
      </c>
      <c r="H967" s="10" t="n">
        <v>7234</v>
      </c>
      <c r="I967" s="11" t="inlineStr">
        <is>
          <t>Mr. Md. Zasim Uddin</t>
        </is>
      </c>
      <c r="J967" s="10">
        <f>IF(K967&gt;0, "Completed", "Pending")</f>
        <v/>
      </c>
      <c r="K967" s="10">
        <f>COUNTIF('Survey Responses'!F:F, F967)</f>
        <v/>
      </c>
    </row>
    <row r="968">
      <c r="A968" s="10" t="n">
        <v>967</v>
      </c>
      <c r="B968" s="11" t="inlineStr">
        <is>
          <t>Gazipur (GEN-A)</t>
        </is>
      </c>
      <c r="C968" s="11" t="inlineStr">
        <is>
          <t>Mr. Hossain Md. Kawsar</t>
        </is>
      </c>
      <c r="D968" s="11" t="inlineStr">
        <is>
          <t>Gazipur GEN-A-1</t>
        </is>
      </c>
      <c r="E968" s="11" t="inlineStr">
        <is>
          <t>Mr. Kazi Mokaram Hossain</t>
        </is>
      </c>
      <c r="F968" s="10" t="n">
        <v>13030</v>
      </c>
      <c r="G968" s="11" t="inlineStr">
        <is>
          <t>Gazipur-Popular Diagnostic Center</t>
        </is>
      </c>
      <c r="H968" s="10" t="n">
        <v>8317</v>
      </c>
      <c r="I968" s="11" t="inlineStr">
        <is>
          <t>Mr. Jadu Ram Roy</t>
        </is>
      </c>
      <c r="J968" s="10">
        <f>IF(K968&gt;0, "Completed", "Pending")</f>
        <v/>
      </c>
      <c r="K968" s="10">
        <f>COUNTIF('Survey Responses'!F:F, F968)</f>
        <v/>
      </c>
    </row>
    <row r="969">
      <c r="A969" s="10" t="n">
        <v>968</v>
      </c>
      <c r="B969" s="11" t="inlineStr">
        <is>
          <t>Gazipur (GEN-A)</t>
        </is>
      </c>
      <c r="C969" s="11" t="inlineStr">
        <is>
          <t>Mr. Hossain Md. Kawsar</t>
        </is>
      </c>
      <c r="D969" s="11" t="inlineStr">
        <is>
          <t>Gazipur GEN-A-1</t>
        </is>
      </c>
      <c r="E969" s="11" t="inlineStr">
        <is>
          <t>Mr. Kazi Mokaram Hossain</t>
        </is>
      </c>
      <c r="F969" s="10" t="n">
        <v>10761</v>
      </c>
      <c r="G969" s="11" t="inlineStr">
        <is>
          <t>Gazipur-Radium Diagnostic</t>
        </is>
      </c>
      <c r="H969" s="10" t="n">
        <v>6393</v>
      </c>
      <c r="I969" s="11" t="inlineStr">
        <is>
          <t>Mr. Md. Aminul Islam</t>
        </is>
      </c>
      <c r="J969" s="10">
        <f>IF(K969&gt;0, "Completed", "Pending")</f>
        <v/>
      </c>
      <c r="K969" s="10">
        <f>COUNTIF('Survey Responses'!F:F, F969)</f>
        <v/>
      </c>
    </row>
    <row r="970">
      <c r="A970" s="10" t="n">
        <v>969</v>
      </c>
      <c r="B970" s="11" t="inlineStr">
        <is>
          <t>Gazipur (GEN-A)</t>
        </is>
      </c>
      <c r="C970" s="11" t="inlineStr">
        <is>
          <t>Mr. Hossain Md. Kawsar</t>
        </is>
      </c>
      <c r="D970" s="11" t="inlineStr">
        <is>
          <t>Gazipur GEN-A-1</t>
        </is>
      </c>
      <c r="E970" s="11" t="inlineStr">
        <is>
          <t>Mr. Kazi Mokaram Hossain</t>
        </is>
      </c>
      <c r="F970" s="10" t="n">
        <v>10760</v>
      </c>
      <c r="G970" s="11" t="inlineStr">
        <is>
          <t>Gazipur-Sadar Hospital-1</t>
        </is>
      </c>
      <c r="H970" s="10" t="n">
        <v>1033</v>
      </c>
      <c r="I970" s="11" t="inlineStr">
        <is>
          <t>Md. Kamal Hossain</t>
        </is>
      </c>
      <c r="J970" s="10">
        <f>IF(K970&gt;0, "Completed", "Pending")</f>
        <v/>
      </c>
      <c r="K970" s="10">
        <f>COUNTIF('Survey Responses'!F:F, F970)</f>
        <v/>
      </c>
    </row>
    <row r="971">
      <c r="A971" s="10" t="n">
        <v>970</v>
      </c>
      <c r="B971" s="11" t="inlineStr">
        <is>
          <t>Gazipur (GEN-A)</t>
        </is>
      </c>
      <c r="C971" s="11" t="inlineStr">
        <is>
          <t>Mr. Hossain Md. Kawsar</t>
        </is>
      </c>
      <c r="D971" s="11" t="inlineStr">
        <is>
          <t>Gazipur GEN-A-1</t>
        </is>
      </c>
      <c r="E971" s="11" t="inlineStr">
        <is>
          <t>Mr. Kazi Mokaram Hossain</t>
        </is>
      </c>
      <c r="F971" s="10" t="n">
        <v>12587</v>
      </c>
      <c r="G971" s="11" t="inlineStr">
        <is>
          <t>Gazipur-Sadar Hospital-2</t>
        </is>
      </c>
      <c r="H971" s="10" t="n">
        <v>8801</v>
      </c>
      <c r="I971" s="11" t="inlineStr">
        <is>
          <t>Mr. Md. Jafor Ali</t>
        </is>
      </c>
      <c r="J971" s="10">
        <f>IF(K971&gt;0, "Completed", "Pending")</f>
        <v/>
      </c>
      <c r="K971" s="10">
        <f>COUNTIF('Survey Responses'!F:F, F971)</f>
        <v/>
      </c>
    </row>
    <row r="972">
      <c r="A972" s="10" t="n">
        <v>971</v>
      </c>
      <c r="B972" s="11" t="inlineStr">
        <is>
          <t>Gazipur (GEN-A)</t>
        </is>
      </c>
      <c r="C972" s="11" t="inlineStr">
        <is>
          <t>Mr. Hossain Md. Kawsar</t>
        </is>
      </c>
      <c r="D972" s="11" t="inlineStr">
        <is>
          <t>Gazipur GEN-A-1</t>
        </is>
      </c>
      <c r="E972" s="11" t="inlineStr">
        <is>
          <t>Mr. Kazi Mokaram Hossain</t>
        </is>
      </c>
      <c r="F972" s="10" t="n">
        <v>10759</v>
      </c>
      <c r="G972" s="11" t="inlineStr">
        <is>
          <t>Gazipur-Shimultoli</t>
        </is>
      </c>
      <c r="H972" s="10" t="n">
        <v>761</v>
      </c>
      <c r="I972" s="11" t="inlineStr">
        <is>
          <t>Md. Mominul Islam</t>
        </is>
      </c>
      <c r="J972" s="10">
        <f>IF(K972&gt;0, "Completed", "Pending")</f>
        <v/>
      </c>
      <c r="K972" s="10">
        <f>COUNTIF('Survey Responses'!F:F, F972)</f>
        <v/>
      </c>
    </row>
    <row r="973">
      <c r="A973" s="10" t="n">
        <v>972</v>
      </c>
      <c r="B973" s="11" t="inlineStr">
        <is>
          <t>Gazipur (GEN-A)</t>
        </is>
      </c>
      <c r="C973" s="11" t="inlineStr">
        <is>
          <t>Mr. Hossain Md. Kawsar</t>
        </is>
      </c>
      <c r="D973" s="11" t="inlineStr">
        <is>
          <t>Gazipur-Chowrasta GEN-A-1</t>
        </is>
      </c>
      <c r="E973" s="11" t="inlineStr">
        <is>
          <t>Mr. Mohammad Abdul Baten</t>
        </is>
      </c>
      <c r="F973" s="10" t="n">
        <v>10765</v>
      </c>
      <c r="G973" s="11" t="inlineStr">
        <is>
          <t>Gazipur-City MC&amp;H</t>
        </is>
      </c>
      <c r="H973" s="10" t="n">
        <v>6668</v>
      </c>
      <c r="I973" s="11" t="inlineStr">
        <is>
          <t>Mr. Md. Nehal Ahmed</t>
        </is>
      </c>
      <c r="J973" s="10">
        <f>IF(K973&gt;0, "Completed", "Pending")</f>
        <v/>
      </c>
      <c r="K973" s="10">
        <f>COUNTIF('Survey Responses'!F:F, F973)</f>
        <v/>
      </c>
    </row>
    <row r="974">
      <c r="A974" s="10" t="n">
        <v>973</v>
      </c>
      <c r="B974" s="11" t="inlineStr">
        <is>
          <t>Gazipur (GEN-A)</t>
        </is>
      </c>
      <c r="C974" s="11" t="inlineStr">
        <is>
          <t>Mr. Hossain Md. Kawsar</t>
        </is>
      </c>
      <c r="D974" s="11" t="inlineStr">
        <is>
          <t>Gazipur-Chowrasta GEN-A-1</t>
        </is>
      </c>
      <c r="E974" s="11" t="inlineStr">
        <is>
          <t>Mr. Mohammad Abdul Baten</t>
        </is>
      </c>
      <c r="F974" s="10" t="n">
        <v>10769</v>
      </c>
      <c r="G974" s="11" t="inlineStr">
        <is>
          <t>Gazipur-Doctors Foundation Hospital</t>
        </is>
      </c>
      <c r="H974" s="10" t="n">
        <v>5032</v>
      </c>
      <c r="I974" s="11" t="inlineStr">
        <is>
          <t>Mr. Md. Zakir Hossain</t>
        </is>
      </c>
      <c r="J974" s="10">
        <f>IF(K974&gt;0, "Completed", "Pending")</f>
        <v/>
      </c>
      <c r="K974" s="10">
        <f>COUNTIF('Survey Responses'!F:F, F974)</f>
        <v/>
      </c>
    </row>
    <row r="975">
      <c r="A975" s="10" t="n">
        <v>974</v>
      </c>
      <c r="B975" s="11" t="inlineStr">
        <is>
          <t>Gazipur (GEN-A)</t>
        </is>
      </c>
      <c r="C975" s="11" t="inlineStr">
        <is>
          <t>Mr. Hossain Md. Kawsar</t>
        </is>
      </c>
      <c r="D975" s="11" t="inlineStr">
        <is>
          <t>Gazipur-Chowrasta GEN-A-1</t>
        </is>
      </c>
      <c r="E975" s="11" t="inlineStr">
        <is>
          <t>Mr. Mohammad Abdul Baten</t>
        </is>
      </c>
      <c r="F975" s="10" t="n">
        <v>10764</v>
      </c>
      <c r="G975" s="11" t="inlineStr">
        <is>
          <t>Gazipur-Medipath</t>
        </is>
      </c>
      <c r="H975" s="10" t="n">
        <v>3183</v>
      </c>
      <c r="I975" s="11" t="inlineStr">
        <is>
          <t>Imran Ali</t>
        </is>
      </c>
      <c r="J975" s="10">
        <f>IF(K975&gt;0, "Completed", "Pending")</f>
        <v/>
      </c>
      <c r="K975" s="10">
        <f>COUNTIF('Survey Responses'!F:F, F975)</f>
        <v/>
      </c>
    </row>
    <row r="976">
      <c r="A976" s="10" t="n">
        <v>975</v>
      </c>
      <c r="B976" s="11" t="inlineStr">
        <is>
          <t>Gazipur (GEN-A)</t>
        </is>
      </c>
      <c r="C976" s="11" t="inlineStr">
        <is>
          <t>Mr. Hossain Md. Kawsar</t>
        </is>
      </c>
      <c r="D976" s="11" t="inlineStr">
        <is>
          <t>Gazipur-Chowrasta GEN-A-1</t>
        </is>
      </c>
      <c r="E976" s="11" t="inlineStr">
        <is>
          <t>Mr. Mohammad Abdul Baten</t>
        </is>
      </c>
      <c r="F976" s="10" t="n">
        <v>12063</v>
      </c>
      <c r="G976" s="11" t="inlineStr">
        <is>
          <t>Manipur</t>
        </is>
      </c>
      <c r="H976" s="10" t="n">
        <v>1864</v>
      </c>
      <c r="I976" s="11" t="inlineStr">
        <is>
          <t>Md. Milon Babu</t>
        </is>
      </c>
      <c r="J976" s="10">
        <f>IF(K976&gt;0, "Completed", "Pending")</f>
        <v/>
      </c>
      <c r="K976" s="10">
        <f>COUNTIF('Survey Responses'!F:F, F976)</f>
        <v/>
      </c>
    </row>
    <row r="977">
      <c r="A977" s="10" t="n">
        <v>976</v>
      </c>
      <c r="B977" s="11" t="inlineStr">
        <is>
          <t>Gazipur (GEN-A)</t>
        </is>
      </c>
      <c r="C977" s="11" t="inlineStr">
        <is>
          <t>Mr. Hossain Md. Kawsar</t>
        </is>
      </c>
      <c r="D977" s="11" t="inlineStr">
        <is>
          <t>Gazipur-Chowrasta GEN-A-1</t>
        </is>
      </c>
      <c r="E977" s="11" t="inlineStr">
        <is>
          <t>Mr. Mohammad Abdul Baten</t>
        </is>
      </c>
      <c r="F977" s="10" t="n">
        <v>10763</v>
      </c>
      <c r="G977" s="11" t="inlineStr">
        <is>
          <t>Rajendrapur</t>
        </is>
      </c>
      <c r="H977" s="10" t="n">
        <v>3812</v>
      </c>
      <c r="I977" s="11" t="inlineStr">
        <is>
          <t>Mr. Machbahul Islam</t>
        </is>
      </c>
      <c r="J977" s="10">
        <f>IF(K977&gt;0, "Completed", "Pending")</f>
        <v/>
      </c>
      <c r="K977" s="10">
        <f>COUNTIF('Survey Responses'!F:F, F977)</f>
        <v/>
      </c>
    </row>
    <row r="978">
      <c r="A978" s="10" t="n">
        <v>977</v>
      </c>
      <c r="B978" s="11" t="inlineStr">
        <is>
          <t>Gazipur (GEN-A)</t>
        </is>
      </c>
      <c r="C978" s="11" t="inlineStr">
        <is>
          <t>Mr. Hossain Md. Kawsar</t>
        </is>
      </c>
      <c r="D978" s="11" t="inlineStr">
        <is>
          <t>Gazipur-Chowrasta GEN-A-1</t>
        </is>
      </c>
      <c r="E978" s="11" t="inlineStr">
        <is>
          <t>Mr. Mohammad Abdul Baten</t>
        </is>
      </c>
      <c r="F978" s="10" t="n">
        <v>10775</v>
      </c>
      <c r="G978" s="11" t="inlineStr">
        <is>
          <t>Vawal-Mirzapur-1</t>
        </is>
      </c>
      <c r="H978" s="10" t="n">
        <v>1805</v>
      </c>
      <c r="I978" s="11" t="inlineStr">
        <is>
          <t>Md. Montasir Mamun</t>
        </is>
      </c>
      <c r="J978" s="10">
        <f>IF(K978&gt;0, "Completed", "Pending")</f>
        <v/>
      </c>
      <c r="K978" s="10">
        <f>COUNTIF('Survey Responses'!F:F, F978)</f>
        <v/>
      </c>
    </row>
    <row r="979">
      <c r="A979" s="10" t="n">
        <v>978</v>
      </c>
      <c r="B979" s="11" t="inlineStr">
        <is>
          <t>Gazipur (GEN-A)</t>
        </is>
      </c>
      <c r="C979" s="11" t="inlineStr">
        <is>
          <t>Mr. Hossain Md. Kawsar</t>
        </is>
      </c>
      <c r="D979" s="11" t="inlineStr">
        <is>
          <t>Gazipur-Chowrasta GEN-A-1</t>
        </is>
      </c>
      <c r="E979" s="11" t="inlineStr">
        <is>
          <t>Mr. Mohammad Abdul Baten</t>
        </is>
      </c>
      <c r="F979" s="10" t="n">
        <v>12564</v>
      </c>
      <c r="G979" s="11" t="inlineStr">
        <is>
          <t>Vawal-Mirzapur-2</t>
        </is>
      </c>
      <c r="H979" s="10" t="n">
        <v>5003</v>
      </c>
      <c r="I979" s="11" t="inlineStr">
        <is>
          <t>Mr. Md. Golam Rabbani Shah</t>
        </is>
      </c>
      <c r="J979" s="10">
        <f>IF(K979&gt;0, "Completed", "Pending")</f>
        <v/>
      </c>
      <c r="K979" s="10">
        <f>COUNTIF('Survey Responses'!F:F, F979)</f>
        <v/>
      </c>
    </row>
    <row r="980">
      <c r="A980" s="10" t="n">
        <v>979</v>
      </c>
      <c r="B980" s="11" t="inlineStr">
        <is>
          <t>Gazipur (GEN-A)</t>
        </is>
      </c>
      <c r="C980" s="11" t="inlineStr">
        <is>
          <t>Mr. Hossain Md. Kawsar</t>
        </is>
      </c>
      <c r="D980" s="11" t="inlineStr">
        <is>
          <t>Kaliakoir GEN-A-1</t>
        </is>
      </c>
      <c r="E980" s="11" t="inlineStr">
        <is>
          <t>Mr. Md. Monsur Rahman</t>
        </is>
      </c>
      <c r="F980" s="10" t="n">
        <v>12275</v>
      </c>
      <c r="G980" s="11" t="inlineStr">
        <is>
          <t>Chandra-1</t>
        </is>
      </c>
      <c r="H980" s="10" t="n">
        <v>3936</v>
      </c>
      <c r="I980" s="11" t="inlineStr">
        <is>
          <t>Mr. Md. Alamgir Hosen</t>
        </is>
      </c>
      <c r="J980" s="10">
        <f>IF(K980&gt;0, "Completed", "Pending")</f>
        <v/>
      </c>
      <c r="K980" s="10">
        <f>COUNTIF('Survey Responses'!F:F, F980)</f>
        <v/>
      </c>
    </row>
    <row r="981">
      <c r="A981" s="10" t="n">
        <v>980</v>
      </c>
      <c r="B981" s="11" t="inlineStr">
        <is>
          <t>Gazipur (GEN-A)</t>
        </is>
      </c>
      <c r="C981" s="11" t="inlineStr">
        <is>
          <t>Mr. Hossain Md. Kawsar</t>
        </is>
      </c>
      <c r="D981" s="11" t="inlineStr">
        <is>
          <t>Kaliakoir GEN-A-1</t>
        </is>
      </c>
      <c r="E981" s="11" t="inlineStr">
        <is>
          <t>Mr. Md. Monsur Rahman</t>
        </is>
      </c>
      <c r="F981" s="10" t="n">
        <v>10050</v>
      </c>
      <c r="G981" s="11" t="inlineStr">
        <is>
          <t>Kaliakoir-1</t>
        </is>
      </c>
      <c r="H981" s="10" t="n">
        <v>2450</v>
      </c>
      <c r="I981" s="11" t="inlineStr">
        <is>
          <t>Amar Kumar Ray</t>
        </is>
      </c>
      <c r="J981" s="10">
        <f>IF(K981&gt;0, "Completed", "Pending")</f>
        <v/>
      </c>
      <c r="K981" s="10">
        <f>COUNTIF('Survey Responses'!F:F, F981)</f>
        <v/>
      </c>
    </row>
    <row r="982">
      <c r="A982" s="10" t="n">
        <v>981</v>
      </c>
      <c r="B982" s="11" t="inlineStr">
        <is>
          <t>Gazipur (GEN-A)</t>
        </is>
      </c>
      <c r="C982" s="11" t="inlineStr">
        <is>
          <t>Mr. Hossain Md. Kawsar</t>
        </is>
      </c>
      <c r="D982" s="11" t="inlineStr">
        <is>
          <t>Kaliakoir GEN-A-1</t>
        </is>
      </c>
      <c r="E982" s="11" t="inlineStr">
        <is>
          <t>Mr. Md. Monsur Rahman</t>
        </is>
      </c>
      <c r="F982" s="10" t="n">
        <v>10054</v>
      </c>
      <c r="G982" s="11" t="inlineStr">
        <is>
          <t>Kaliakoir-2</t>
        </is>
      </c>
      <c r="H982" s="10" t="n">
        <v>2749</v>
      </c>
      <c r="I982" s="11" t="inlineStr">
        <is>
          <t>Jahanur</t>
        </is>
      </c>
      <c r="J982" s="10">
        <f>IF(K982&gt;0, "Completed", "Pending")</f>
        <v/>
      </c>
      <c r="K982" s="10">
        <f>COUNTIF('Survey Responses'!F:F, F982)</f>
        <v/>
      </c>
    </row>
    <row r="983">
      <c r="A983" s="10" t="n">
        <v>982</v>
      </c>
      <c r="B983" s="11" t="inlineStr">
        <is>
          <t>Gazipur (GEN-A)</t>
        </is>
      </c>
      <c r="C983" s="11" t="inlineStr">
        <is>
          <t>Mr. Hossain Md. Kawsar</t>
        </is>
      </c>
      <c r="D983" s="11" t="inlineStr">
        <is>
          <t>Kaliakoir GEN-A-1</t>
        </is>
      </c>
      <c r="E983" s="11" t="inlineStr">
        <is>
          <t>Mr. Md. Monsur Rahman</t>
        </is>
      </c>
      <c r="F983" s="10" t="n">
        <v>12210</v>
      </c>
      <c r="G983" s="11" t="inlineStr">
        <is>
          <t>Shafipur General Hospital-1</t>
        </is>
      </c>
      <c r="H983" s="10" t="n">
        <v>7310</v>
      </c>
      <c r="I983" s="11" t="inlineStr">
        <is>
          <t>Mr. Md. Sazzadur Rahman</t>
        </is>
      </c>
      <c r="J983" s="10">
        <f>IF(K983&gt;0, "Completed", "Pending")</f>
        <v/>
      </c>
      <c r="K983" s="10">
        <f>COUNTIF('Survey Responses'!F:F, F983)</f>
        <v/>
      </c>
    </row>
    <row r="984">
      <c r="A984" s="10" t="n">
        <v>983</v>
      </c>
      <c r="B984" s="11" t="inlineStr">
        <is>
          <t>Gazipur (GEN-A)</t>
        </is>
      </c>
      <c r="C984" s="11" t="inlineStr">
        <is>
          <t>Mr. Hossain Md. Kawsar</t>
        </is>
      </c>
      <c r="D984" s="11" t="inlineStr">
        <is>
          <t>Kaliakoir GEN-A-1</t>
        </is>
      </c>
      <c r="E984" s="11" t="inlineStr">
        <is>
          <t>Mr. Md. Monsur Rahman</t>
        </is>
      </c>
      <c r="F984" s="10" t="n">
        <v>10754</v>
      </c>
      <c r="G984" s="11" t="inlineStr">
        <is>
          <t>Shafipur Tanha Health Care</t>
        </is>
      </c>
      <c r="H984" s="10" t="n">
        <v>1821</v>
      </c>
      <c r="I984" s="11" t="inlineStr">
        <is>
          <t>Faruque Hossain</t>
        </is>
      </c>
      <c r="J984" s="10">
        <f>IF(K984&gt;0, "Completed", "Pending")</f>
        <v/>
      </c>
      <c r="K984" s="10">
        <f>COUNTIF('Survey Responses'!F:F, F984)</f>
        <v/>
      </c>
    </row>
    <row r="985">
      <c r="A985" s="10" t="n">
        <v>984</v>
      </c>
      <c r="B985" s="11" t="inlineStr">
        <is>
          <t>Gazipur (GEN-A)</t>
        </is>
      </c>
      <c r="C985" s="11" t="inlineStr">
        <is>
          <t>Mr. Hossain Md. Kawsar</t>
        </is>
      </c>
      <c r="D985" s="11" t="inlineStr">
        <is>
          <t>Kaliakoir GEN-A-1</t>
        </is>
      </c>
      <c r="E985" s="11" t="inlineStr">
        <is>
          <t>Mr. Md. Monsur Rahman</t>
        </is>
      </c>
      <c r="F985" s="10" t="n">
        <v>10753</v>
      </c>
      <c r="G985" s="11" t="inlineStr">
        <is>
          <t>Shafipur-Mordern Hospital</t>
        </is>
      </c>
      <c r="H985" s="10" t="n">
        <v>968</v>
      </c>
      <c r="I985" s="11" t="inlineStr">
        <is>
          <t>Md. Samsul Haque</t>
        </is>
      </c>
      <c r="J985" s="10">
        <f>IF(K985&gt;0, "Completed", "Pending")</f>
        <v/>
      </c>
      <c r="K985" s="10">
        <f>COUNTIF('Survey Responses'!F:F, F985)</f>
        <v/>
      </c>
    </row>
    <row r="986">
      <c r="A986" s="10" t="n">
        <v>985</v>
      </c>
      <c r="B986" s="11" t="inlineStr">
        <is>
          <t>Gazipur (GEN-A)</t>
        </is>
      </c>
      <c r="C986" s="11" t="inlineStr">
        <is>
          <t>Mr. Hossain Md. Kawsar</t>
        </is>
      </c>
      <c r="D986" s="11" t="inlineStr">
        <is>
          <t>Kaliakoir GEN-A-1</t>
        </is>
      </c>
      <c r="E986" s="11" t="inlineStr">
        <is>
          <t>Mr. Md. Monsur Rahman</t>
        </is>
      </c>
      <c r="F986" s="10" t="n">
        <v>14501</v>
      </c>
      <c r="G986" s="11" t="inlineStr">
        <is>
          <t>Shafipur-Mordern Hospital-2</t>
        </is>
      </c>
      <c r="H986" s="10" t="n">
        <v>7496</v>
      </c>
      <c r="I986" s="11" t="inlineStr">
        <is>
          <t>Mr. Riaj Uddin</t>
        </is>
      </c>
      <c r="J986" s="10">
        <f>IF(K986&gt;0, "Completed", "Pending")</f>
        <v/>
      </c>
      <c r="K986" s="10">
        <f>COUNTIF('Survey Responses'!F:F, F986)</f>
        <v/>
      </c>
    </row>
    <row r="987">
      <c r="A987" s="10" t="n">
        <v>986</v>
      </c>
      <c r="B987" s="11" t="inlineStr">
        <is>
          <t>Gazipur (GEN-A)</t>
        </is>
      </c>
      <c r="C987" s="11" t="inlineStr">
        <is>
          <t>Mr. Hossain Md. Kawsar</t>
        </is>
      </c>
      <c r="D987" s="11" t="inlineStr">
        <is>
          <t>Kapasia GEN-A-1</t>
        </is>
      </c>
      <c r="E987" s="11" t="inlineStr">
        <is>
          <t>Mr. Md. Anisuzzaman</t>
        </is>
      </c>
      <c r="F987" s="10" t="n">
        <v>14573</v>
      </c>
      <c r="G987" s="11" t="inlineStr">
        <is>
          <t>Amraid-2</t>
        </is>
      </c>
      <c r="H987" s="10" t="n">
        <v>7662</v>
      </c>
      <c r="I987" s="11" t="inlineStr">
        <is>
          <t>Mr. Miraj Mollah</t>
        </is>
      </c>
      <c r="J987" s="10">
        <f>IF(K987&gt;0, "Completed", "Pending")</f>
        <v/>
      </c>
      <c r="K987" s="10">
        <f>COUNTIF('Survey Responses'!F:F, F987)</f>
        <v/>
      </c>
    </row>
    <row r="988">
      <c r="A988" s="10" t="n">
        <v>987</v>
      </c>
      <c r="B988" s="11" t="inlineStr">
        <is>
          <t>Gazipur (GEN-A)</t>
        </is>
      </c>
      <c r="C988" s="11" t="inlineStr">
        <is>
          <t>Mr. Hossain Md. Kawsar</t>
        </is>
      </c>
      <c r="D988" s="11" t="inlineStr">
        <is>
          <t>Kapasia GEN-A-1</t>
        </is>
      </c>
      <c r="E988" s="11" t="inlineStr">
        <is>
          <t>Mr. Md. Anisuzzaman</t>
        </is>
      </c>
      <c r="F988" s="10" t="n">
        <v>10768</v>
      </c>
      <c r="G988" s="11" t="inlineStr">
        <is>
          <t>Kapasia Bazar</t>
        </is>
      </c>
      <c r="H988" s="10" t="n">
        <v>2820</v>
      </c>
      <c r="I988" s="11" t="inlineStr">
        <is>
          <t>Md. Rabiul Islam</t>
        </is>
      </c>
      <c r="J988" s="10">
        <f>IF(K988&gt;0, "Completed", "Pending")</f>
        <v/>
      </c>
      <c r="K988" s="10">
        <f>COUNTIF('Survey Responses'!F:F, F988)</f>
        <v/>
      </c>
    </row>
    <row r="989">
      <c r="A989" s="10" t="n">
        <v>988</v>
      </c>
      <c r="B989" s="11" t="inlineStr">
        <is>
          <t>Gazipur (GEN-A)</t>
        </is>
      </c>
      <c r="C989" s="11" t="inlineStr">
        <is>
          <t>Mr. Hossain Md. Kawsar</t>
        </is>
      </c>
      <c r="D989" s="11" t="inlineStr">
        <is>
          <t>Kapasia GEN-A-1</t>
        </is>
      </c>
      <c r="E989" s="11" t="inlineStr">
        <is>
          <t>Mr. Md. Anisuzzaman</t>
        </is>
      </c>
      <c r="F989" s="10" t="n">
        <v>12333</v>
      </c>
      <c r="G989" s="11" t="inlineStr">
        <is>
          <t>Kapasia Health Complex</t>
        </is>
      </c>
      <c r="H989" s="10" t="n">
        <v>7062</v>
      </c>
      <c r="I989" s="11" t="inlineStr">
        <is>
          <t>Mr. Md. Firoj Kabir</t>
        </is>
      </c>
      <c r="J989" s="10">
        <f>IF(K989&gt;0, "Completed", "Pending")</f>
        <v/>
      </c>
      <c r="K989" s="10">
        <f>COUNTIF('Survey Responses'!F:F, F989)</f>
        <v/>
      </c>
    </row>
    <row r="990">
      <c r="A990" s="10" t="n">
        <v>989</v>
      </c>
      <c r="B990" s="11" t="inlineStr">
        <is>
          <t>Gazipur (GEN-A)</t>
        </is>
      </c>
      <c r="C990" s="11" t="inlineStr">
        <is>
          <t>Mr. Hossain Md. Kawsar</t>
        </is>
      </c>
      <c r="D990" s="11" t="inlineStr">
        <is>
          <t>Kapasia GEN-A-1</t>
        </is>
      </c>
      <c r="E990" s="11" t="inlineStr">
        <is>
          <t>Mr. Md. Anisuzzaman</t>
        </is>
      </c>
      <c r="F990" s="10" t="n">
        <v>10767</v>
      </c>
      <c r="G990" s="11" t="inlineStr">
        <is>
          <t>Kapasia-Amraid General Hospital</t>
        </is>
      </c>
      <c r="H990" s="10" t="n">
        <v>1222</v>
      </c>
      <c r="I990" s="11" t="inlineStr">
        <is>
          <t>Md. Al Mamun</t>
        </is>
      </c>
      <c r="J990" s="10">
        <f>IF(K990&gt;0, "Completed", "Pending")</f>
        <v/>
      </c>
      <c r="K990" s="10">
        <f>COUNTIF('Survey Responses'!F:F, F990)</f>
        <v/>
      </c>
    </row>
    <row r="991">
      <c r="A991" s="10" t="n">
        <v>990</v>
      </c>
      <c r="B991" s="11" t="inlineStr">
        <is>
          <t>Gazipur (GEN-A)</t>
        </is>
      </c>
      <c r="C991" s="11" t="inlineStr">
        <is>
          <t>Mr. Hossain Md. Kawsar</t>
        </is>
      </c>
      <c r="D991" s="11" t="inlineStr">
        <is>
          <t>Kapasia GEN-A-1</t>
        </is>
      </c>
      <c r="E991" s="11" t="inlineStr">
        <is>
          <t>Mr. Md. Anisuzzaman</t>
        </is>
      </c>
      <c r="F991" s="10" t="n">
        <v>10766</v>
      </c>
      <c r="G991" s="11" t="inlineStr">
        <is>
          <t>Kapasia-Diabetic Somitee</t>
        </is>
      </c>
      <c r="H991" s="10" t="n">
        <v>6831</v>
      </c>
      <c r="I991" s="11" t="inlineStr">
        <is>
          <t>Mr. Proshanto Kumar Das</t>
        </is>
      </c>
      <c r="J991" s="10">
        <f>IF(K991&gt;0, "Completed", "Pending")</f>
        <v/>
      </c>
      <c r="K991" s="10">
        <f>COUNTIF('Survey Responses'!F:F, F991)</f>
        <v/>
      </c>
    </row>
    <row r="992">
      <c r="A992" s="10" t="n">
        <v>991</v>
      </c>
      <c r="B992" s="11" t="inlineStr">
        <is>
          <t>Gazipur (GEN-A)</t>
        </is>
      </c>
      <c r="C992" s="11" t="inlineStr">
        <is>
          <t>Mr. Hossain Md. Kawsar</t>
        </is>
      </c>
      <c r="D992" s="11" t="inlineStr">
        <is>
          <t>Kapasia GEN-A-1</t>
        </is>
      </c>
      <c r="E992" s="11" t="inlineStr">
        <is>
          <t>Mr. Md. Anisuzzaman</t>
        </is>
      </c>
      <c r="F992" s="10" t="n">
        <v>13031</v>
      </c>
      <c r="G992" s="11" t="inlineStr">
        <is>
          <t>Kapasia-Radium Diagnostic Center</t>
        </is>
      </c>
      <c r="H992" s="10" t="n">
        <v>6420</v>
      </c>
      <c r="I992" s="11" t="inlineStr">
        <is>
          <t>Mr. Milon Roy</t>
        </is>
      </c>
      <c r="J992" s="10">
        <f>IF(K992&gt;0, "Completed", "Pending")</f>
        <v/>
      </c>
      <c r="K992" s="10">
        <f>COUNTIF('Survey Responses'!F:F, F992)</f>
        <v/>
      </c>
    </row>
    <row r="993">
      <c r="A993" s="10" t="n">
        <v>992</v>
      </c>
      <c r="B993" s="11" t="inlineStr">
        <is>
          <t>Gazipur (GEN-A)</t>
        </is>
      </c>
      <c r="C993" s="11" t="inlineStr">
        <is>
          <t>Mr. Hossain Md. Kawsar</t>
        </is>
      </c>
      <c r="D993" s="11" t="inlineStr">
        <is>
          <t>Kapasia GEN-A-1</t>
        </is>
      </c>
      <c r="E993" s="11" t="inlineStr">
        <is>
          <t>Mr. Md. Anisuzzaman</t>
        </is>
      </c>
      <c r="F993" s="10" t="n">
        <v>10774</v>
      </c>
      <c r="G993" s="11" t="inlineStr">
        <is>
          <t>Sreepur-1</t>
        </is>
      </c>
      <c r="H993" s="10" t="n">
        <v>2069</v>
      </c>
      <c r="I993" s="11" t="inlineStr">
        <is>
          <t>Zannatul Firdaws</t>
        </is>
      </c>
      <c r="J993" s="10">
        <f>IF(K993&gt;0, "Completed", "Pending")</f>
        <v/>
      </c>
      <c r="K993" s="10">
        <f>COUNTIF('Survey Responses'!F:F, F993)</f>
        <v/>
      </c>
    </row>
    <row r="994">
      <c r="A994" s="10" t="n">
        <v>993</v>
      </c>
      <c r="B994" s="11" t="inlineStr">
        <is>
          <t>Gazipur (GEN-A)</t>
        </is>
      </c>
      <c r="C994" s="11" t="inlineStr">
        <is>
          <t>Mr. Hossain Md. Kawsar</t>
        </is>
      </c>
      <c r="D994" s="11" t="inlineStr">
        <is>
          <t>Kapasia GEN-A-1</t>
        </is>
      </c>
      <c r="E994" s="11" t="inlineStr">
        <is>
          <t>Mr. Md. Anisuzzaman</t>
        </is>
      </c>
      <c r="F994" s="10" t="n">
        <v>14572</v>
      </c>
      <c r="G994" s="11" t="inlineStr">
        <is>
          <t>Sreepur-2</t>
        </is>
      </c>
      <c r="H994" s="10" t="n">
        <v>7621</v>
      </c>
      <c r="I994" s="11" t="inlineStr">
        <is>
          <t>Mr. Md. Suel Rana</t>
        </is>
      </c>
      <c r="J994" s="10">
        <f>IF(K994&gt;0, "Completed", "Pending")</f>
        <v/>
      </c>
      <c r="K994" s="10">
        <f>COUNTIF('Survey Responses'!F:F, F994)</f>
        <v/>
      </c>
    </row>
    <row r="995">
      <c r="A995" s="10" t="n">
        <v>994</v>
      </c>
      <c r="B995" s="11" t="inlineStr">
        <is>
          <t>Gazipur (GEN-A)</t>
        </is>
      </c>
      <c r="C995" s="11" t="inlineStr">
        <is>
          <t>Mr. Hossain Md. Kawsar</t>
        </is>
      </c>
      <c r="D995" s="11" t="inlineStr">
        <is>
          <t>Konabari GEN-A-1</t>
        </is>
      </c>
      <c r="E995" s="11" t="inlineStr">
        <is>
          <t>Md. Abdul Hye Al Hadi</t>
        </is>
      </c>
      <c r="F995" s="10" t="n">
        <v>12912</v>
      </c>
      <c r="G995" s="11" t="inlineStr">
        <is>
          <t>Konabari Central Hospital</t>
        </is>
      </c>
      <c r="H995" s="10" t="n">
        <v>5966</v>
      </c>
      <c r="I995" s="11" t="inlineStr">
        <is>
          <t>Md. Masud Rana</t>
        </is>
      </c>
      <c r="J995" s="10">
        <f>IF(K995&gt;0, "Completed", "Pending")</f>
        <v/>
      </c>
      <c r="K995" s="10">
        <f>COUNTIF('Survey Responses'!F:F, F995)</f>
        <v/>
      </c>
    </row>
    <row r="996">
      <c r="A996" s="10" t="n">
        <v>995</v>
      </c>
      <c r="B996" s="11" t="inlineStr">
        <is>
          <t>Gazipur (GEN-A)</t>
        </is>
      </c>
      <c r="C996" s="11" t="inlineStr">
        <is>
          <t>Mr. Hossain Md. Kawsar</t>
        </is>
      </c>
      <c r="D996" s="11" t="inlineStr">
        <is>
          <t>Konabari GEN-A-1</t>
        </is>
      </c>
      <c r="E996" s="11" t="inlineStr">
        <is>
          <t>Md. Abdul Hye Al Hadi</t>
        </is>
      </c>
      <c r="F996" s="10" t="n">
        <v>10757</v>
      </c>
      <c r="G996" s="11" t="inlineStr">
        <is>
          <t>Konabari Clinic</t>
        </is>
      </c>
      <c r="H996" s="10" t="n">
        <v>2260</v>
      </c>
      <c r="I996" s="11" t="inlineStr">
        <is>
          <t>Md. Saiful Islam</t>
        </is>
      </c>
      <c r="J996" s="10">
        <f>IF(K996&gt;0, "Completed", "Pending")</f>
        <v/>
      </c>
      <c r="K996" s="10">
        <f>COUNTIF('Survey Responses'!F:F, F996)</f>
        <v/>
      </c>
    </row>
    <row r="997">
      <c r="A997" s="10" t="n">
        <v>996</v>
      </c>
      <c r="B997" s="11" t="inlineStr">
        <is>
          <t>Gazipur (GEN-A)</t>
        </is>
      </c>
      <c r="C997" s="11" t="inlineStr">
        <is>
          <t>Mr. Hossain Md. Kawsar</t>
        </is>
      </c>
      <c r="D997" s="11" t="inlineStr">
        <is>
          <t>Konabari GEN-A-1</t>
        </is>
      </c>
      <c r="E997" s="11" t="inlineStr">
        <is>
          <t>Md. Abdul Hye Al Hadi</t>
        </is>
      </c>
      <c r="F997" s="10" t="n">
        <v>12666</v>
      </c>
      <c r="G997" s="11" t="inlineStr">
        <is>
          <t>Konabari Lab Aid Hospital</t>
        </is>
      </c>
      <c r="H997" s="10" t="n">
        <v>4143</v>
      </c>
      <c r="I997" s="11" t="inlineStr">
        <is>
          <t>Mr. Md. Saddam Hossain</t>
        </is>
      </c>
      <c r="J997" s="10">
        <f>IF(K997&gt;0, "Completed", "Pending")</f>
        <v/>
      </c>
      <c r="K997" s="10">
        <f>COUNTIF('Survey Responses'!F:F, F997)</f>
        <v/>
      </c>
    </row>
    <row r="998">
      <c r="A998" s="10" t="n">
        <v>997</v>
      </c>
      <c r="B998" s="11" t="inlineStr">
        <is>
          <t>Gazipur (GEN-A)</t>
        </is>
      </c>
      <c r="C998" s="11" t="inlineStr">
        <is>
          <t>Mr. Hossain Md. Kawsar</t>
        </is>
      </c>
      <c r="D998" s="11" t="inlineStr">
        <is>
          <t>Konabari GEN-A-1</t>
        </is>
      </c>
      <c r="E998" s="11" t="inlineStr">
        <is>
          <t>Md. Abdul Hye Al Hadi</t>
        </is>
      </c>
      <c r="F998" s="10" t="n">
        <v>13185</v>
      </c>
      <c r="G998" s="11" t="inlineStr">
        <is>
          <t>Konabari Shorif Hospital</t>
        </is>
      </c>
      <c r="H998" s="10" t="n">
        <v>5792</v>
      </c>
      <c r="I998" s="11" t="inlineStr">
        <is>
          <t>Mr. Masud Rana</t>
        </is>
      </c>
      <c r="J998" s="10">
        <f>IF(K998&gt;0, "Completed", "Pending")</f>
        <v/>
      </c>
      <c r="K998" s="10">
        <f>COUNTIF('Survey Responses'!F:F, F998)</f>
        <v/>
      </c>
    </row>
    <row r="999">
      <c r="A999" s="10" t="n">
        <v>998</v>
      </c>
      <c r="B999" s="11" t="inlineStr">
        <is>
          <t>Gazipur (GEN-A)</t>
        </is>
      </c>
      <c r="C999" s="11" t="inlineStr">
        <is>
          <t>Mr. Hossain Md. Kawsar</t>
        </is>
      </c>
      <c r="D999" s="11" t="inlineStr">
        <is>
          <t>Konabari GEN-A-1</t>
        </is>
      </c>
      <c r="E999" s="11" t="inlineStr">
        <is>
          <t>Md. Abdul Hye Al Hadi</t>
        </is>
      </c>
      <c r="F999" s="10" t="n">
        <v>10755</v>
      </c>
      <c r="G999" s="11" t="inlineStr">
        <is>
          <t>Konabari-Kashimpur</t>
        </is>
      </c>
      <c r="H999" s="10" t="n">
        <v>1322</v>
      </c>
      <c r="I999" s="11" t="inlineStr">
        <is>
          <t>Mr. Ruhul Kudus</t>
        </is>
      </c>
      <c r="J999" s="10">
        <f>IF(K999&gt;0, "Completed", "Pending")</f>
        <v/>
      </c>
      <c r="K999" s="10">
        <f>COUNTIF('Survey Responses'!F:F, F999)</f>
        <v/>
      </c>
    </row>
    <row r="1000">
      <c r="A1000" s="10" t="n">
        <v>999</v>
      </c>
      <c r="B1000" s="11" t="inlineStr">
        <is>
          <t>Gazipur (GEN-A)</t>
        </is>
      </c>
      <c r="C1000" s="11" t="inlineStr">
        <is>
          <t>Mr. Hossain Md. Kawsar</t>
        </is>
      </c>
      <c r="D1000" s="11" t="inlineStr">
        <is>
          <t>Konabari GEN-A-1</t>
        </is>
      </c>
      <c r="E1000" s="11" t="inlineStr">
        <is>
          <t>Md. Abdul Hye Al Hadi</t>
        </is>
      </c>
      <c r="F1000" s="10" t="n">
        <v>10752</v>
      </c>
      <c r="G1000" s="11" t="inlineStr">
        <is>
          <t>Konabari-Mouchak</t>
        </is>
      </c>
      <c r="H1000" s="10" t="n">
        <v>2936</v>
      </c>
      <c r="I1000" s="11" t="inlineStr">
        <is>
          <t>Md. Dublu Islam</t>
        </is>
      </c>
      <c r="J1000" s="10">
        <f>IF(K1000&gt;0, "Completed", "Pending")</f>
        <v/>
      </c>
      <c r="K1000" s="10">
        <f>COUNTIF('Survey Responses'!F:F, F1000)</f>
        <v/>
      </c>
    </row>
    <row r="1001">
      <c r="A1001" s="10" t="n">
        <v>1000</v>
      </c>
      <c r="B1001" s="11" t="inlineStr">
        <is>
          <t>Gazipur (GEN-A)</t>
        </is>
      </c>
      <c r="C1001" s="11" t="inlineStr">
        <is>
          <t>Mr. Hossain Md. Kawsar</t>
        </is>
      </c>
      <c r="D1001" s="11" t="inlineStr">
        <is>
          <t>Konabari GEN-A-1</t>
        </is>
      </c>
      <c r="E1001" s="11" t="inlineStr">
        <is>
          <t>Md. Abdul Hye Al Hadi</t>
        </is>
      </c>
      <c r="F1001" s="10" t="n">
        <v>10756</v>
      </c>
      <c r="G1001" s="11" t="inlineStr">
        <is>
          <t>Konabari-Popular Hospital</t>
        </is>
      </c>
      <c r="H1001" s="10" t="n">
        <v>3944</v>
      </c>
      <c r="I1001" s="11" t="inlineStr">
        <is>
          <t>Mr. Mokshedul Islam</t>
        </is>
      </c>
      <c r="J1001" s="10">
        <f>IF(K1001&gt;0, "Completed", "Pending")</f>
        <v/>
      </c>
      <c r="K1001" s="10">
        <f>COUNTIF('Survey Responses'!F:F, F1001)</f>
        <v/>
      </c>
    </row>
    <row r="1002">
      <c r="A1002" s="10" t="n">
        <v>1001</v>
      </c>
      <c r="B1002" s="11" t="inlineStr">
        <is>
          <t>Gazipur (GEN-A)</t>
        </is>
      </c>
      <c r="C1002" s="11" t="inlineStr">
        <is>
          <t>Mr. Hossain Md. Kawsar</t>
        </is>
      </c>
      <c r="D1002" s="11" t="inlineStr">
        <is>
          <t>Mawna GEN-A-1</t>
        </is>
      </c>
      <c r="E1002" s="11" t="inlineStr">
        <is>
          <t>Mr. Suranjan Dhar</t>
        </is>
      </c>
      <c r="F1002" s="10" t="n">
        <v>13186</v>
      </c>
      <c r="G1002" s="11" t="inlineStr">
        <is>
          <t>Bagher Bazar-1</t>
        </is>
      </c>
      <c r="H1002" s="10" t="n">
        <v>5793</v>
      </c>
      <c r="I1002" s="11" t="inlineStr">
        <is>
          <t>Mr. Md. Sayed Anwar</t>
        </is>
      </c>
      <c r="J1002" s="10">
        <f>IF(K1002&gt;0, "Completed", "Pending")</f>
        <v/>
      </c>
      <c r="K1002" s="10">
        <f>COUNTIF('Survey Responses'!F:F, F1002)</f>
        <v/>
      </c>
    </row>
    <row r="1003">
      <c r="A1003" s="10" t="n">
        <v>1002</v>
      </c>
      <c r="B1003" s="11" t="inlineStr">
        <is>
          <t>Gazipur (GEN-A)</t>
        </is>
      </c>
      <c r="C1003" s="11" t="inlineStr">
        <is>
          <t>Mr. Hossain Md. Kawsar</t>
        </is>
      </c>
      <c r="D1003" s="11" t="inlineStr">
        <is>
          <t>Mawna GEN-A-1</t>
        </is>
      </c>
      <c r="E1003" s="11" t="inlineStr">
        <is>
          <t>Mr. Suranjan Dhar</t>
        </is>
      </c>
      <c r="F1003" s="10" t="n">
        <v>10772</v>
      </c>
      <c r="G1003" s="11" t="inlineStr">
        <is>
          <t>Mawna-Al Hera Hospital</t>
        </is>
      </c>
      <c r="H1003" s="10" t="n">
        <v>1616</v>
      </c>
      <c r="I1003" s="11" t="inlineStr">
        <is>
          <t>Md. Abdur Rahman</t>
        </is>
      </c>
      <c r="J1003" s="10">
        <f>IF(K1003&gt;0, "Completed", "Pending")</f>
        <v/>
      </c>
      <c r="K1003" s="10">
        <f>COUNTIF('Survey Responses'!F:F, F1003)</f>
        <v/>
      </c>
    </row>
    <row r="1004">
      <c r="A1004" s="10" t="n">
        <v>1003</v>
      </c>
      <c r="B1004" s="11" t="inlineStr">
        <is>
          <t>Gazipur (GEN-A)</t>
        </is>
      </c>
      <c r="C1004" s="11" t="inlineStr">
        <is>
          <t>Mr. Hossain Md. Kawsar</t>
        </is>
      </c>
      <c r="D1004" s="11" t="inlineStr">
        <is>
          <t>Mawna GEN-A-1</t>
        </is>
      </c>
      <c r="E1004" s="11" t="inlineStr">
        <is>
          <t>Mr. Suranjan Dhar</t>
        </is>
      </c>
      <c r="F1004" s="10" t="n">
        <v>14876</v>
      </c>
      <c r="G1004" s="11" t="inlineStr">
        <is>
          <t>Mawna-Al Hera Hospital-2</t>
        </is>
      </c>
      <c r="H1004" s="10" t="n">
        <v>9000</v>
      </c>
      <c r="I1004" s="11" t="inlineStr">
        <is>
          <t>Mr. Md. Shihab Uddin</t>
        </is>
      </c>
      <c r="J1004" s="10">
        <f>IF(K1004&gt;0, "Completed", "Pending")</f>
        <v/>
      </c>
      <c r="K1004" s="10">
        <f>COUNTIF('Survey Responses'!F:F, F1004)</f>
        <v/>
      </c>
    </row>
    <row r="1005">
      <c r="A1005" s="10" t="n">
        <v>1004</v>
      </c>
      <c r="B1005" s="11" t="inlineStr">
        <is>
          <t>Gazipur (GEN-A)</t>
        </is>
      </c>
      <c r="C1005" s="11" t="inlineStr">
        <is>
          <t>Mr. Hossain Md. Kawsar</t>
        </is>
      </c>
      <c r="D1005" s="11" t="inlineStr">
        <is>
          <t>Mawna GEN-A-1</t>
        </is>
      </c>
      <c r="E1005" s="11" t="inlineStr">
        <is>
          <t>Mr. Suranjan Dhar</t>
        </is>
      </c>
      <c r="F1005" s="10" t="n">
        <v>10771</v>
      </c>
      <c r="G1005" s="11" t="inlineStr">
        <is>
          <t>Mawna-Al Hera Medical</t>
        </is>
      </c>
      <c r="H1005" s="10" t="n">
        <v>3933</v>
      </c>
      <c r="I1005" s="11" t="inlineStr">
        <is>
          <t>Mr. Md. Sihab Uddin</t>
        </is>
      </c>
      <c r="J1005" s="10">
        <f>IF(K1005&gt;0, "Completed", "Pending")</f>
        <v/>
      </c>
      <c r="K1005" s="10">
        <f>COUNTIF('Survey Responses'!F:F, F1005)</f>
        <v/>
      </c>
    </row>
    <row r="1006">
      <c r="A1006" s="10" t="n">
        <v>1005</v>
      </c>
      <c r="B1006" s="11" t="inlineStr">
        <is>
          <t>Gazipur (GEN-A)</t>
        </is>
      </c>
      <c r="C1006" s="11" t="inlineStr">
        <is>
          <t>Mr. Hossain Md. Kawsar</t>
        </is>
      </c>
      <c r="D1006" s="11" t="inlineStr">
        <is>
          <t>Mawna GEN-A-1</t>
        </is>
      </c>
      <c r="E1006" s="11" t="inlineStr">
        <is>
          <t>Mr. Suranjan Dhar</t>
        </is>
      </c>
      <c r="F1006" s="10" t="n">
        <v>10773</v>
      </c>
      <c r="G1006" s="11" t="inlineStr">
        <is>
          <t>Mawna-Bagher Bazar</t>
        </is>
      </c>
      <c r="H1006" s="10" t="n">
        <v>2215</v>
      </c>
      <c r="I1006" s="11" t="inlineStr">
        <is>
          <t>Ruhidash Shil</t>
        </is>
      </c>
      <c r="J1006" s="10">
        <f>IF(K1006&gt;0, "Completed", "Pending")</f>
        <v/>
      </c>
      <c r="K1006" s="10">
        <f>COUNTIF('Survey Responses'!F:F, F1006)</f>
        <v/>
      </c>
    </row>
    <row r="1007">
      <c r="A1007" s="10" t="n">
        <v>1006</v>
      </c>
      <c r="B1007" s="11" t="inlineStr">
        <is>
          <t>Gazipur (GEN-A)</t>
        </is>
      </c>
      <c r="C1007" s="11" t="inlineStr">
        <is>
          <t>Mr. Hossain Md. Kawsar</t>
        </is>
      </c>
      <c r="D1007" s="11" t="inlineStr">
        <is>
          <t>Mawna GEN-A-1</t>
        </is>
      </c>
      <c r="E1007" s="11" t="inlineStr">
        <is>
          <t>Mr. Suranjan Dhar</t>
        </is>
      </c>
      <c r="F1007" s="10" t="n">
        <v>10770</v>
      </c>
      <c r="G1007" s="11" t="inlineStr">
        <is>
          <t>Mawna-Fulbaria</t>
        </is>
      </c>
      <c r="H1007" s="10" t="n">
        <v>1146</v>
      </c>
      <c r="I1007" s="11" t="inlineStr">
        <is>
          <t>Abinas Chandra Roy</t>
        </is>
      </c>
      <c r="J1007" s="10">
        <f>IF(K1007&gt;0, "Completed", "Pending")</f>
        <v/>
      </c>
      <c r="K1007" s="10">
        <f>COUNTIF('Survey Responses'!F:F, F1007)</f>
        <v/>
      </c>
    </row>
    <row r="1008">
      <c r="A1008" s="10" t="n">
        <v>1007</v>
      </c>
      <c r="B1008" s="11" t="inlineStr">
        <is>
          <t>Gazipur (GEN-A)</t>
        </is>
      </c>
      <c r="C1008" s="11" t="inlineStr">
        <is>
          <t>Mr. Hossain Md. Kawsar</t>
        </is>
      </c>
      <c r="D1008" s="11" t="inlineStr">
        <is>
          <t>Mawna GEN-A-1</t>
        </is>
      </c>
      <c r="E1008" s="11" t="inlineStr">
        <is>
          <t>Mr. Suranjan Dhar</t>
        </is>
      </c>
      <c r="F1008" s="10" t="n">
        <v>12562</v>
      </c>
      <c r="G1008" s="11" t="inlineStr">
        <is>
          <t>Mawna-Padma Digital Hospital</t>
        </is>
      </c>
      <c r="H1008" s="10" t="n">
        <v>3929</v>
      </c>
      <c r="I1008" s="11" t="inlineStr">
        <is>
          <t>Mr. Md. Abdur Razzak</t>
        </is>
      </c>
      <c r="J1008" s="10">
        <f>IF(K1008&gt;0, "Completed", "Pending")</f>
        <v/>
      </c>
      <c r="K1008" s="10">
        <f>COUNTIF('Survey Responses'!F:F, F1008)</f>
        <v/>
      </c>
    </row>
    <row r="1009">
      <c r="A1009" s="10" t="n">
        <v>1008</v>
      </c>
      <c r="B1009" s="11" t="inlineStr">
        <is>
          <t>Uttara (GEN-A)</t>
        </is>
      </c>
      <c r="C1009" s="11" t="inlineStr">
        <is>
          <t>Mr. Subharaj Hossain</t>
        </is>
      </c>
      <c r="D1009" s="11" t="inlineStr">
        <is>
          <t>Arihajar GEN-A-1</t>
        </is>
      </c>
      <c r="E1009" s="11" t="inlineStr">
        <is>
          <t>Mr. Mohammad Ali</t>
        </is>
      </c>
      <c r="F1009" s="10" t="n">
        <v>10531</v>
      </c>
      <c r="G1009" s="11" t="inlineStr">
        <is>
          <t>Arihajar-1</t>
        </is>
      </c>
      <c r="H1009" s="10" t="n">
        <v>5002</v>
      </c>
      <c r="I1009" s="11" t="inlineStr">
        <is>
          <t>Mr. Md. Nur Alom</t>
        </is>
      </c>
      <c r="J1009" s="10">
        <f>IF(K1009&gt;0, "Completed", "Pending")</f>
        <v/>
      </c>
      <c r="K1009" s="10">
        <f>COUNTIF('Survey Responses'!F:F, F1009)</f>
        <v/>
      </c>
    </row>
    <row r="1010">
      <c r="A1010" s="10" t="n">
        <v>1009</v>
      </c>
      <c r="B1010" s="11" t="inlineStr">
        <is>
          <t>Uttara (GEN-A)</t>
        </is>
      </c>
      <c r="C1010" s="11" t="inlineStr">
        <is>
          <t>Mr. Subharaj Hossain</t>
        </is>
      </c>
      <c r="D1010" s="11" t="inlineStr">
        <is>
          <t>Arihajar GEN-A-1</t>
        </is>
      </c>
      <c r="E1010" s="11" t="inlineStr">
        <is>
          <t>Mr. Mohammad Ali</t>
        </is>
      </c>
      <c r="F1010" s="10" t="n">
        <v>10532</v>
      </c>
      <c r="G1010" s="11" t="inlineStr">
        <is>
          <t>Arihajar-2</t>
        </is>
      </c>
      <c r="H1010" s="10" t="n">
        <v>6710</v>
      </c>
      <c r="I1010" s="11" t="inlineStr">
        <is>
          <t>Mr. Md. Anwar Hossen</t>
        </is>
      </c>
      <c r="J1010" s="10">
        <f>IF(K1010&gt;0, "Completed", "Pending")</f>
        <v/>
      </c>
      <c r="K1010" s="10">
        <f>COUNTIF('Survey Responses'!F:F, F1010)</f>
        <v/>
      </c>
    </row>
    <row r="1011">
      <c r="A1011" s="10" t="n">
        <v>1010</v>
      </c>
      <c r="B1011" s="11" t="inlineStr">
        <is>
          <t>Uttara (GEN-A)</t>
        </is>
      </c>
      <c r="C1011" s="11" t="inlineStr">
        <is>
          <t>Mr. Subharaj Hossain</t>
        </is>
      </c>
      <c r="D1011" s="11" t="inlineStr">
        <is>
          <t>Arihajar GEN-A-1</t>
        </is>
      </c>
      <c r="E1011" s="11" t="inlineStr">
        <is>
          <t>Mr. Mohammad Ali</t>
        </is>
      </c>
      <c r="F1011" s="10" t="n">
        <v>10533</v>
      </c>
      <c r="G1011" s="11" t="inlineStr">
        <is>
          <t>Arihajar-3</t>
        </is>
      </c>
      <c r="H1011" s="10" t="n">
        <v>3935</v>
      </c>
      <c r="I1011" s="11" t="inlineStr">
        <is>
          <t>Mr. Md. Wasim Akram</t>
        </is>
      </c>
      <c r="J1011" s="10">
        <f>IF(K1011&gt;0, "Completed", "Pending")</f>
        <v/>
      </c>
      <c r="K1011" s="10">
        <f>COUNTIF('Survey Responses'!F:F, F1011)</f>
        <v/>
      </c>
    </row>
    <row r="1012">
      <c r="A1012" s="10" t="n">
        <v>1011</v>
      </c>
      <c r="B1012" s="11" t="inlineStr">
        <is>
          <t>Uttara (GEN-A)</t>
        </is>
      </c>
      <c r="C1012" s="11" t="inlineStr">
        <is>
          <t>Mr. Subharaj Hossain</t>
        </is>
      </c>
      <c r="D1012" s="11" t="inlineStr">
        <is>
          <t>Arihajar GEN-A-1</t>
        </is>
      </c>
      <c r="E1012" s="11" t="inlineStr">
        <is>
          <t>Mr. Mohammad Ali</t>
        </is>
      </c>
      <c r="F1012" s="10" t="n">
        <v>10534</v>
      </c>
      <c r="G1012" s="11" t="inlineStr">
        <is>
          <t>Arihajar-4</t>
        </is>
      </c>
      <c r="H1012" s="10" t="n">
        <v>6324</v>
      </c>
      <c r="I1012" s="11" t="inlineStr">
        <is>
          <t>Mr. Md. Rakibul Hasan</t>
        </is>
      </c>
      <c r="J1012" s="10">
        <f>IF(K1012&gt;0, "Completed", "Pending")</f>
        <v/>
      </c>
      <c r="K1012" s="10">
        <f>COUNTIF('Survey Responses'!F:F, F1012)</f>
        <v/>
      </c>
    </row>
    <row r="1013">
      <c r="A1013" s="10" t="n">
        <v>1012</v>
      </c>
      <c r="B1013" s="11" t="inlineStr">
        <is>
          <t>Uttara (GEN-A)</t>
        </is>
      </c>
      <c r="C1013" s="11" t="inlineStr">
        <is>
          <t>Mr. Subharaj Hossain</t>
        </is>
      </c>
      <c r="D1013" s="11" t="inlineStr">
        <is>
          <t>Arihajar GEN-A-1</t>
        </is>
      </c>
      <c r="E1013" s="11" t="inlineStr">
        <is>
          <t>Mr. Mohammad Ali</t>
        </is>
      </c>
      <c r="F1013" s="10" t="n">
        <v>13239</v>
      </c>
      <c r="G1013" s="11" t="inlineStr">
        <is>
          <t>Arihajar-5</t>
        </is>
      </c>
      <c r="H1013" s="10" t="n">
        <v>5863</v>
      </c>
      <c r="I1013" s="11" t="inlineStr">
        <is>
          <t>Mr. Akramul Haque</t>
        </is>
      </c>
      <c r="J1013" s="10">
        <f>IF(K1013&gt;0, "Completed", "Pending")</f>
        <v/>
      </c>
      <c r="K1013" s="10">
        <f>COUNTIF('Survey Responses'!F:F, F1013)</f>
        <v/>
      </c>
    </row>
    <row r="1014">
      <c r="A1014" s="10" t="n">
        <v>1013</v>
      </c>
      <c r="B1014" s="11" t="inlineStr">
        <is>
          <t>Uttara (GEN-A)</t>
        </is>
      </c>
      <c r="C1014" s="11" t="inlineStr">
        <is>
          <t>Mr. Subharaj Hossain</t>
        </is>
      </c>
      <c r="D1014" s="11" t="inlineStr">
        <is>
          <t>Arihajar GEN-A-1</t>
        </is>
      </c>
      <c r="E1014" s="11" t="inlineStr">
        <is>
          <t>Mr. Mohammad Ali</t>
        </is>
      </c>
      <c r="F1014" s="10" t="n">
        <v>14146</v>
      </c>
      <c r="G1014" s="11" t="inlineStr">
        <is>
          <t>Arihajar-6 (Taltola)</t>
        </is>
      </c>
      <c r="H1014" s="10" t="n">
        <v>7491</v>
      </c>
      <c r="I1014" s="11" t="inlineStr">
        <is>
          <t>Mr. Md. Nazir Ali</t>
        </is>
      </c>
      <c r="J1014" s="10">
        <f>IF(K1014&gt;0, "Completed", "Pending")</f>
        <v/>
      </c>
      <c r="K1014" s="10">
        <f>COUNTIF('Survey Responses'!F:F, F1014)</f>
        <v/>
      </c>
    </row>
    <row r="1015">
      <c r="A1015" s="10" t="n">
        <v>1014</v>
      </c>
      <c r="B1015" s="11" t="inlineStr">
        <is>
          <t>Uttara (GEN-A)</t>
        </is>
      </c>
      <c r="C1015" s="11" t="inlineStr">
        <is>
          <t>Mr. Subharaj Hossain</t>
        </is>
      </c>
      <c r="D1015" s="11" t="inlineStr">
        <is>
          <t>Arihajar GEN-A-1</t>
        </is>
      </c>
      <c r="E1015" s="11" t="inlineStr">
        <is>
          <t>Mr. Mohammad Ali</t>
        </is>
      </c>
      <c r="F1015" s="10" t="n">
        <v>12575</v>
      </c>
      <c r="G1015" s="11" t="inlineStr">
        <is>
          <t>Gopaldi Bazar-1</t>
        </is>
      </c>
      <c r="H1015" s="10" t="n">
        <v>6711</v>
      </c>
      <c r="I1015" s="11" t="inlineStr">
        <is>
          <t>Mr. Md. Kawsar Rumi</t>
        </is>
      </c>
      <c r="J1015" s="10">
        <f>IF(K1015&gt;0, "Completed", "Pending")</f>
        <v/>
      </c>
      <c r="K1015" s="10">
        <f>COUNTIF('Survey Responses'!F:F, F1015)</f>
        <v/>
      </c>
    </row>
    <row r="1016">
      <c r="A1016" s="10" t="n">
        <v>1015</v>
      </c>
      <c r="B1016" s="11" t="inlineStr">
        <is>
          <t>Uttara (GEN-A)</t>
        </is>
      </c>
      <c r="C1016" s="11" t="inlineStr">
        <is>
          <t>Mr. Subharaj Hossain</t>
        </is>
      </c>
      <c r="D1016" s="11" t="inlineStr">
        <is>
          <t>Kaliganj GEN-A-1</t>
        </is>
      </c>
      <c r="E1016" s="11" t="inlineStr">
        <is>
          <t>Md. Abu Sayem</t>
        </is>
      </c>
      <c r="F1016" s="10" t="n">
        <v>14879</v>
      </c>
      <c r="G1016" s="11" t="inlineStr">
        <is>
          <t>Kaligonj (Divine Mercy Hospital)</t>
        </is>
      </c>
      <c r="H1016" s="10" t="n">
        <v>9003</v>
      </c>
      <c r="I1016" s="11" t="inlineStr">
        <is>
          <t>Mr. Md. Nahid Hasan</t>
        </is>
      </c>
      <c r="J1016" s="10">
        <f>IF(K1016&gt;0, "Completed", "Pending")</f>
        <v/>
      </c>
      <c r="K1016" s="10">
        <f>COUNTIF('Survey Responses'!F:F, F1016)</f>
        <v/>
      </c>
    </row>
    <row r="1017">
      <c r="A1017" s="10" t="n">
        <v>1016</v>
      </c>
      <c r="B1017" s="11" t="inlineStr">
        <is>
          <t>Uttara (GEN-A)</t>
        </is>
      </c>
      <c r="C1017" s="11" t="inlineStr">
        <is>
          <t>Mr. Subharaj Hossain</t>
        </is>
      </c>
      <c r="D1017" s="11" t="inlineStr">
        <is>
          <t>Kaliganj GEN-A-1</t>
        </is>
      </c>
      <c r="E1017" s="11" t="inlineStr">
        <is>
          <t>Md. Abu Sayem</t>
        </is>
      </c>
      <c r="F1017" s="10" t="n">
        <v>12324</v>
      </c>
      <c r="G1017" s="11" t="inlineStr">
        <is>
          <t>Kaligonj Awrakhali (Tongi)</t>
        </is>
      </c>
      <c r="H1017" s="10" t="n">
        <v>3806</v>
      </c>
      <c r="I1017" s="11" t="inlineStr">
        <is>
          <t>Mr. Md. Rakib Hosen</t>
        </is>
      </c>
      <c r="J1017" s="10">
        <f>IF(K1017&gt;0, "Completed", "Pending")</f>
        <v/>
      </c>
      <c r="K1017" s="10">
        <f>COUNTIF('Survey Responses'!F:F, F1017)</f>
        <v/>
      </c>
    </row>
    <row r="1018">
      <c r="A1018" s="10" t="n">
        <v>1017</v>
      </c>
      <c r="B1018" s="11" t="inlineStr">
        <is>
          <t>Uttara (GEN-A)</t>
        </is>
      </c>
      <c r="C1018" s="11" t="inlineStr">
        <is>
          <t>Mr. Subharaj Hossain</t>
        </is>
      </c>
      <c r="D1018" s="11" t="inlineStr">
        <is>
          <t>Kaliganj GEN-A-1</t>
        </is>
      </c>
      <c r="E1018" s="11" t="inlineStr">
        <is>
          <t>Md. Abu Sayem</t>
        </is>
      </c>
      <c r="F1018" s="10" t="n">
        <v>13089</v>
      </c>
      <c r="G1018" s="11" t="inlineStr">
        <is>
          <t>Kaligonj-Dolonbazar (Tongi)</t>
        </is>
      </c>
      <c r="H1018" s="10" t="n">
        <v>5674</v>
      </c>
      <c r="I1018" s="11" t="inlineStr">
        <is>
          <t>Mr. Tonmoy Kumar</t>
        </is>
      </c>
      <c r="J1018" s="10">
        <f>IF(K1018&gt;0, "Completed", "Pending")</f>
        <v/>
      </c>
      <c r="K1018" s="10">
        <f>COUNTIF('Survey Responses'!F:F, F1018)</f>
        <v/>
      </c>
    </row>
    <row r="1019">
      <c r="A1019" s="10" t="n">
        <v>1018</v>
      </c>
      <c r="B1019" s="11" t="inlineStr">
        <is>
          <t>Uttara (GEN-A)</t>
        </is>
      </c>
      <c r="C1019" s="11" t="inlineStr">
        <is>
          <t>Mr. Subharaj Hossain</t>
        </is>
      </c>
      <c r="D1019" s="11" t="inlineStr">
        <is>
          <t>Kaliganj GEN-A-1</t>
        </is>
      </c>
      <c r="E1019" s="11" t="inlineStr">
        <is>
          <t>Md. Abu Sayem</t>
        </is>
      </c>
      <c r="F1019" s="10" t="n">
        <v>10740</v>
      </c>
      <c r="G1019" s="11" t="inlineStr">
        <is>
          <t>Kaligonj-Jamalpur (Tongi)</t>
        </is>
      </c>
      <c r="H1019" s="10" t="n">
        <v>1321</v>
      </c>
      <c r="I1019" s="11" t="inlineStr">
        <is>
          <t>Md. Lutfar Rahman</t>
        </is>
      </c>
      <c r="J1019" s="10">
        <f>IF(K1019&gt;0, "Completed", "Pending")</f>
        <v/>
      </c>
      <c r="K1019" s="10">
        <f>COUNTIF('Survey Responses'!F:F, F1019)</f>
        <v/>
      </c>
    </row>
    <row r="1020">
      <c r="A1020" s="10" t="n">
        <v>1019</v>
      </c>
      <c r="B1020" s="11" t="inlineStr">
        <is>
          <t>Uttara (GEN-A)</t>
        </is>
      </c>
      <c r="C1020" s="11" t="inlineStr">
        <is>
          <t>Mr. Subharaj Hossain</t>
        </is>
      </c>
      <c r="D1020" s="11" t="inlineStr">
        <is>
          <t>Kaliganj GEN-A-1</t>
        </is>
      </c>
      <c r="E1020" s="11" t="inlineStr">
        <is>
          <t>Md. Abu Sayem</t>
        </is>
      </c>
      <c r="F1020" s="10" t="n">
        <v>10745</v>
      </c>
      <c r="G1020" s="11" t="inlineStr">
        <is>
          <t>Kaligonj-Nagori (Tongi)</t>
        </is>
      </c>
      <c r="H1020" s="10" t="n">
        <v>0</v>
      </c>
      <c r="I1020" s="11" t="inlineStr">
        <is>
          <t>Kaligonj-Nagori (Tongi)</t>
        </is>
      </c>
      <c r="J1020" s="10">
        <f>IF(K1020&gt;0, "Completed", "Pending")</f>
        <v/>
      </c>
      <c r="K1020" s="10">
        <f>COUNTIF('Survey Responses'!F:F, F1020)</f>
        <v/>
      </c>
    </row>
    <row r="1021">
      <c r="A1021" s="10" t="n">
        <v>1020</v>
      </c>
      <c r="B1021" s="11" t="inlineStr">
        <is>
          <t>Uttara (GEN-A)</t>
        </is>
      </c>
      <c r="C1021" s="11" t="inlineStr">
        <is>
          <t>Mr. Subharaj Hossain</t>
        </is>
      </c>
      <c r="D1021" s="11" t="inlineStr">
        <is>
          <t>Kaliganj GEN-A-1</t>
        </is>
      </c>
      <c r="E1021" s="11" t="inlineStr">
        <is>
          <t>Md. Abu Sayem</t>
        </is>
      </c>
      <c r="F1021" s="10" t="n">
        <v>12976</v>
      </c>
      <c r="G1021" s="11" t="inlineStr">
        <is>
          <t>TMMCH</t>
        </is>
      </c>
      <c r="H1021" s="10" t="n">
        <v>5602</v>
      </c>
      <c r="I1021" s="11" t="inlineStr">
        <is>
          <t>Mr. Md. Minhazur Rahman Khan</t>
        </is>
      </c>
      <c r="J1021" s="10">
        <f>IF(K1021&gt;0, "Completed", "Pending")</f>
        <v/>
      </c>
      <c r="K1021" s="10">
        <f>COUNTIF('Survey Responses'!F:F, F1021)</f>
        <v/>
      </c>
    </row>
    <row r="1022">
      <c r="A1022" s="10" t="n">
        <v>1021</v>
      </c>
      <c r="B1022" s="11" t="inlineStr">
        <is>
          <t>Uttara (GEN-A)</t>
        </is>
      </c>
      <c r="C1022" s="11" t="inlineStr">
        <is>
          <t>Mr. Subharaj Hossain</t>
        </is>
      </c>
      <c r="D1022" s="11" t="inlineStr">
        <is>
          <t>Kaliganj GEN-A-1</t>
        </is>
      </c>
      <c r="E1022" s="11" t="inlineStr">
        <is>
          <t>Md. Abu Sayem</t>
        </is>
      </c>
      <c r="F1022" s="10" t="n">
        <v>10742</v>
      </c>
      <c r="G1022" s="11" t="inlineStr">
        <is>
          <t>Tongi-Catharsis</t>
        </is>
      </c>
      <c r="H1022" s="10" t="n">
        <v>8649</v>
      </c>
      <c r="I1022" s="11" t="inlineStr">
        <is>
          <t>Mr. Md. Rony Azam</t>
        </is>
      </c>
      <c r="J1022" s="10">
        <f>IF(K1022&gt;0, "Completed", "Pending")</f>
        <v/>
      </c>
      <c r="K1022" s="10">
        <f>COUNTIF('Survey Responses'!F:F, F1022)</f>
        <v/>
      </c>
    </row>
    <row r="1023">
      <c r="A1023" s="10" t="n">
        <v>1022</v>
      </c>
      <c r="B1023" s="11" t="inlineStr">
        <is>
          <t>Uttara (GEN-A)</t>
        </is>
      </c>
      <c r="C1023" s="11" t="inlineStr">
        <is>
          <t>Mr. Subharaj Hossain</t>
        </is>
      </c>
      <c r="D1023" s="11" t="inlineStr">
        <is>
          <t>Rupgonj GEN-A-1</t>
        </is>
      </c>
      <c r="E1023" s="11" t="inlineStr">
        <is>
          <t>Mr. Md. Shaheedul Islam</t>
        </is>
      </c>
      <c r="F1023" s="10" t="n">
        <v>14554</v>
      </c>
      <c r="G1023" s="11" t="inlineStr">
        <is>
          <t>Kanchan-1</t>
        </is>
      </c>
      <c r="H1023" s="10" t="n">
        <v>8852</v>
      </c>
      <c r="I1023" s="11" t="inlineStr">
        <is>
          <t>Mr. Nasir Uddin</t>
        </is>
      </c>
      <c r="J1023" s="10">
        <f>IF(K1023&gt;0, "Completed", "Pending")</f>
        <v/>
      </c>
      <c r="K1023" s="10">
        <f>COUNTIF('Survey Responses'!F:F, F1023)</f>
        <v/>
      </c>
    </row>
    <row r="1024">
      <c r="A1024" s="10" t="n">
        <v>1023</v>
      </c>
      <c r="B1024" s="11" t="inlineStr">
        <is>
          <t>Uttara (GEN-A)</t>
        </is>
      </c>
      <c r="C1024" s="11" t="inlineStr">
        <is>
          <t>Mr. Subharaj Hossain</t>
        </is>
      </c>
      <c r="D1024" s="11" t="inlineStr">
        <is>
          <t>Rupgonj GEN-A-1</t>
        </is>
      </c>
      <c r="E1024" s="11" t="inlineStr">
        <is>
          <t>Mr. Md. Shaheedul Islam</t>
        </is>
      </c>
      <c r="F1024" s="10" t="n">
        <v>10572</v>
      </c>
      <c r="G1024" s="11" t="inlineStr">
        <is>
          <t>Rupgonj-1</t>
        </is>
      </c>
      <c r="H1024" s="10" t="n">
        <v>1398</v>
      </c>
      <c r="I1024" s="11" t="inlineStr">
        <is>
          <t>Md. Aminul Islam</t>
        </is>
      </c>
      <c r="J1024" s="10">
        <f>IF(K1024&gt;0, "Completed", "Pending")</f>
        <v/>
      </c>
      <c r="K1024" s="10">
        <f>COUNTIF('Survey Responses'!F:F, F1024)</f>
        <v/>
      </c>
    </row>
    <row r="1025">
      <c r="A1025" s="10" t="n">
        <v>1024</v>
      </c>
      <c r="B1025" s="11" t="inlineStr">
        <is>
          <t>Uttara (GEN-A)</t>
        </is>
      </c>
      <c r="C1025" s="11" t="inlineStr">
        <is>
          <t>Mr. Subharaj Hossain</t>
        </is>
      </c>
      <c r="D1025" s="11" t="inlineStr">
        <is>
          <t>Rupgonj GEN-A-1</t>
        </is>
      </c>
      <c r="E1025" s="11" t="inlineStr">
        <is>
          <t>Mr. Md. Shaheedul Islam</t>
        </is>
      </c>
      <c r="F1025" s="10" t="n">
        <v>10569</v>
      </c>
      <c r="G1025" s="11" t="inlineStr">
        <is>
          <t>Rupgonj-2</t>
        </is>
      </c>
      <c r="H1025" s="10" t="n">
        <v>1655</v>
      </c>
      <c r="I1025" s="11" t="inlineStr">
        <is>
          <t>Md. Rafiqul Islam</t>
        </is>
      </c>
      <c r="J1025" s="10">
        <f>IF(K1025&gt;0, "Completed", "Pending")</f>
        <v/>
      </c>
      <c r="K1025" s="10">
        <f>COUNTIF('Survey Responses'!F:F, F1025)</f>
        <v/>
      </c>
    </row>
    <row r="1026">
      <c r="A1026" s="10" t="n">
        <v>1025</v>
      </c>
      <c r="B1026" s="11" t="inlineStr">
        <is>
          <t>Uttara (GEN-A)</t>
        </is>
      </c>
      <c r="C1026" s="11" t="inlineStr">
        <is>
          <t>Mr. Subharaj Hossain</t>
        </is>
      </c>
      <c r="D1026" s="11" t="inlineStr">
        <is>
          <t>Rupgonj GEN-A-1</t>
        </is>
      </c>
      <c r="E1026" s="11" t="inlineStr">
        <is>
          <t>Mr. Md. Shaheedul Islam</t>
        </is>
      </c>
      <c r="F1026" s="10" t="n">
        <v>10570</v>
      </c>
      <c r="G1026" s="11" t="inlineStr">
        <is>
          <t>Rupgonj-3</t>
        </is>
      </c>
      <c r="H1026" s="10" t="n">
        <v>6417</v>
      </c>
      <c r="I1026" s="11" t="inlineStr">
        <is>
          <t>Mr. Kilinton Roy</t>
        </is>
      </c>
      <c r="J1026" s="10">
        <f>IF(K1026&gt;0, "Completed", "Pending")</f>
        <v/>
      </c>
      <c r="K1026" s="10">
        <f>COUNTIF('Survey Responses'!F:F, F1026)</f>
        <v/>
      </c>
    </row>
    <row r="1027">
      <c r="A1027" s="10" t="n">
        <v>1026</v>
      </c>
      <c r="B1027" s="11" t="inlineStr">
        <is>
          <t>Uttara (GEN-A)</t>
        </is>
      </c>
      <c r="C1027" s="11" t="inlineStr">
        <is>
          <t>Mr. Subharaj Hossain</t>
        </is>
      </c>
      <c r="D1027" s="11" t="inlineStr">
        <is>
          <t>Rupgonj GEN-A-1</t>
        </is>
      </c>
      <c r="E1027" s="11" t="inlineStr">
        <is>
          <t>Mr. Md. Shaheedul Islam</t>
        </is>
      </c>
      <c r="F1027" s="10" t="n">
        <v>10571</v>
      </c>
      <c r="G1027" s="11" t="inlineStr">
        <is>
          <t>Rupgonj-4</t>
        </is>
      </c>
      <c r="H1027" s="10" t="n">
        <v>2934</v>
      </c>
      <c r="I1027" s="11" t="inlineStr">
        <is>
          <t>Md. Arifuzzaman</t>
        </is>
      </c>
      <c r="J1027" s="10">
        <f>IF(K1027&gt;0, "Completed", "Pending")</f>
        <v/>
      </c>
      <c r="K1027" s="10">
        <f>COUNTIF('Survey Responses'!F:F, F1027)</f>
        <v/>
      </c>
    </row>
    <row r="1028">
      <c r="A1028" s="10" t="n">
        <v>1027</v>
      </c>
      <c r="B1028" s="11" t="inlineStr">
        <is>
          <t>Uttara (GEN-A)</t>
        </is>
      </c>
      <c r="C1028" s="11" t="inlineStr">
        <is>
          <t>Mr. Subharaj Hossain</t>
        </is>
      </c>
      <c r="D1028" s="11" t="inlineStr">
        <is>
          <t>Rupgonj GEN-A-1</t>
        </is>
      </c>
      <c r="E1028" s="11" t="inlineStr">
        <is>
          <t>Mr. Md. Shaheedul Islam</t>
        </is>
      </c>
      <c r="F1028" s="10" t="n">
        <v>12212</v>
      </c>
      <c r="G1028" s="11" t="inlineStr">
        <is>
          <t>Rupgonj-5</t>
        </is>
      </c>
      <c r="H1028" s="10" t="n">
        <v>7460</v>
      </c>
      <c r="I1028" s="11" t="inlineStr">
        <is>
          <t>Mr. Dipto Bakshi</t>
        </is>
      </c>
      <c r="J1028" s="10">
        <f>IF(K1028&gt;0, "Completed", "Pending")</f>
        <v/>
      </c>
      <c r="K1028" s="10">
        <f>COUNTIF('Survey Responses'!F:F, F1028)</f>
        <v/>
      </c>
    </row>
    <row r="1029">
      <c r="A1029" s="10" t="n">
        <v>1028</v>
      </c>
      <c r="B1029" s="11" t="inlineStr">
        <is>
          <t>Uttara (GEN-A)</t>
        </is>
      </c>
      <c r="C1029" s="11" t="inlineStr">
        <is>
          <t>Mr. Subharaj Hossain</t>
        </is>
      </c>
      <c r="D1029" s="11" t="inlineStr">
        <is>
          <t>Rupgonj GEN-A-1</t>
        </is>
      </c>
      <c r="E1029" s="11" t="inlineStr">
        <is>
          <t>Mr. Md. Shaheedul Islam</t>
        </is>
      </c>
      <c r="F1029" s="10" t="n">
        <v>12213</v>
      </c>
      <c r="G1029" s="11" t="inlineStr">
        <is>
          <t>Rupgonj-6</t>
        </is>
      </c>
      <c r="H1029" s="10" t="n">
        <v>3588</v>
      </c>
      <c r="I1029" s="11" t="inlineStr">
        <is>
          <t>Mr. Md. Emdad Hosen Jony</t>
        </is>
      </c>
      <c r="J1029" s="10">
        <f>IF(K1029&gt;0, "Completed", "Pending")</f>
        <v/>
      </c>
      <c r="K1029" s="10">
        <f>COUNTIF('Survey Responses'!F:F, F1029)</f>
        <v/>
      </c>
    </row>
    <row r="1030">
      <c r="A1030" s="10" t="n">
        <v>1029</v>
      </c>
      <c r="B1030" s="11" t="inlineStr">
        <is>
          <t>Uttara (GEN-A)</t>
        </is>
      </c>
      <c r="C1030" s="11" t="inlineStr">
        <is>
          <t>Mr. Subharaj Hossain</t>
        </is>
      </c>
      <c r="D1030" s="11" t="inlineStr">
        <is>
          <t>Rupgonj GEN-A-1</t>
        </is>
      </c>
      <c r="E1030" s="11" t="inlineStr">
        <is>
          <t>Mr. Md. Shaheedul Islam</t>
        </is>
      </c>
      <c r="F1030" s="10" t="n">
        <v>12959</v>
      </c>
      <c r="G1030" s="11" t="inlineStr">
        <is>
          <t>Rupgonj-7</t>
        </is>
      </c>
      <c r="H1030" s="10" t="n">
        <v>1591</v>
      </c>
      <c r="I1030" s="11" t="inlineStr">
        <is>
          <t>Md. Ashraful Islam</t>
        </is>
      </c>
      <c r="J1030" s="10">
        <f>IF(K1030&gt;0, "Completed", "Pending")</f>
        <v/>
      </c>
      <c r="K1030" s="10">
        <f>COUNTIF('Survey Responses'!F:F, F1030)</f>
        <v/>
      </c>
    </row>
    <row r="1031">
      <c r="A1031" s="10" t="n">
        <v>1030</v>
      </c>
      <c r="B1031" s="11" t="inlineStr">
        <is>
          <t>Uttara (GEN-A)</t>
        </is>
      </c>
      <c r="C1031" s="11" t="inlineStr">
        <is>
          <t>Mr. Subharaj Hossain</t>
        </is>
      </c>
      <c r="D1031" s="11" t="inlineStr">
        <is>
          <t>Tongi GEN-A-1</t>
        </is>
      </c>
      <c r="E1031" s="11" t="inlineStr">
        <is>
          <t>Mr. Md. Mahbub Alam Sobuj</t>
        </is>
      </c>
      <c r="F1031" s="10" t="n">
        <v>10722</v>
      </c>
      <c r="G1031" s="11" t="inlineStr">
        <is>
          <t>Japan East-West MCH</t>
        </is>
      </c>
      <c r="H1031" s="10" t="n">
        <v>8592</v>
      </c>
      <c r="I1031" s="11" t="inlineStr">
        <is>
          <t>Mr. Md. Mamun Ali</t>
        </is>
      </c>
      <c r="J1031" s="10">
        <f>IF(K1031&gt;0, "Completed", "Pending")</f>
        <v/>
      </c>
      <c r="K1031" s="10">
        <f>COUNTIF('Survey Responses'!F:F, F1031)</f>
        <v/>
      </c>
    </row>
    <row r="1032">
      <c r="A1032" s="10" t="n">
        <v>1031</v>
      </c>
      <c r="B1032" s="11" t="inlineStr">
        <is>
          <t>Uttara (GEN-A)</t>
        </is>
      </c>
      <c r="C1032" s="11" t="inlineStr">
        <is>
          <t>Mr. Subharaj Hossain</t>
        </is>
      </c>
      <c r="D1032" s="11" t="inlineStr">
        <is>
          <t>Tongi GEN-A-1</t>
        </is>
      </c>
      <c r="E1032" s="11" t="inlineStr">
        <is>
          <t>Mr. Md. Mahbub Alam Sobuj</t>
        </is>
      </c>
      <c r="F1032" s="10" t="n">
        <v>10743</v>
      </c>
      <c r="G1032" s="11" t="inlineStr">
        <is>
          <t>Tongi Bazar</t>
        </is>
      </c>
      <c r="H1032" s="10" t="n">
        <v>3103</v>
      </c>
      <c r="I1032" s="11" t="inlineStr">
        <is>
          <t>Md. Mehedi Hasan Sumon</t>
        </is>
      </c>
      <c r="J1032" s="10">
        <f>IF(K1032&gt;0, "Completed", "Pending")</f>
        <v/>
      </c>
      <c r="K1032" s="10">
        <f>COUNTIF('Survey Responses'!F:F, F1032)</f>
        <v/>
      </c>
    </row>
    <row r="1033">
      <c r="A1033" s="10" t="n">
        <v>1032</v>
      </c>
      <c r="B1033" s="11" t="inlineStr">
        <is>
          <t>Uttara (GEN-A)</t>
        </is>
      </c>
      <c r="C1033" s="11" t="inlineStr">
        <is>
          <t>Mr. Subharaj Hossain</t>
        </is>
      </c>
      <c r="D1033" s="11" t="inlineStr">
        <is>
          <t>Tongi GEN-A-1</t>
        </is>
      </c>
      <c r="E1033" s="11" t="inlineStr">
        <is>
          <t>Mr. Md. Mahbub Alam Sobuj</t>
        </is>
      </c>
      <c r="F1033" s="10" t="n">
        <v>10741</v>
      </c>
      <c r="G1033" s="11" t="inlineStr">
        <is>
          <t>Tongi-BSCIC &amp; TNT</t>
        </is>
      </c>
      <c r="H1033" s="10" t="n">
        <v>1467</v>
      </c>
      <c r="I1033" s="11" t="inlineStr">
        <is>
          <t>Md. Hafizur Rahman</t>
        </is>
      </c>
      <c r="J1033" s="10">
        <f>IF(K1033&gt;0, "Completed", "Pending")</f>
        <v/>
      </c>
      <c r="K1033" s="10">
        <f>COUNTIF('Survey Responses'!F:F, F1033)</f>
        <v/>
      </c>
    </row>
    <row r="1034">
      <c r="A1034" s="10" t="n">
        <v>1033</v>
      </c>
      <c r="B1034" s="11" t="inlineStr">
        <is>
          <t>Uttara (GEN-A)</t>
        </is>
      </c>
      <c r="C1034" s="11" t="inlineStr">
        <is>
          <t>Mr. Subharaj Hossain</t>
        </is>
      </c>
      <c r="D1034" s="11" t="inlineStr">
        <is>
          <t>Tongi GEN-A-1</t>
        </is>
      </c>
      <c r="E1034" s="11" t="inlineStr">
        <is>
          <t>Mr. Md. Mahbub Alam Sobuj</t>
        </is>
      </c>
      <c r="F1034" s="10" t="n">
        <v>12268</v>
      </c>
      <c r="G1034" s="11" t="inlineStr">
        <is>
          <t>Tongi-Cherag Ali</t>
        </is>
      </c>
      <c r="H1034" s="10" t="n">
        <v>3647</v>
      </c>
      <c r="I1034" s="11" t="inlineStr">
        <is>
          <t>Mr. Md. Abdul Karim</t>
        </is>
      </c>
      <c r="J1034" s="10">
        <f>IF(K1034&gt;0, "Completed", "Pending")</f>
        <v/>
      </c>
      <c r="K1034" s="10">
        <f>COUNTIF('Survey Responses'!F:F, F1034)</f>
        <v/>
      </c>
    </row>
    <row r="1035">
      <c r="A1035" s="10" t="n">
        <v>1034</v>
      </c>
      <c r="B1035" s="11" t="inlineStr">
        <is>
          <t>Uttara (GEN-A)</t>
        </is>
      </c>
      <c r="C1035" s="11" t="inlineStr">
        <is>
          <t>Mr. Subharaj Hossain</t>
        </is>
      </c>
      <c r="D1035" s="11" t="inlineStr">
        <is>
          <t>Tongi GEN-A-1</t>
        </is>
      </c>
      <c r="E1035" s="11" t="inlineStr">
        <is>
          <t>Mr. Md. Mahbub Alam Sobuj</t>
        </is>
      </c>
      <c r="F1035" s="10" t="n">
        <v>10747</v>
      </c>
      <c r="G1035" s="11" t="inlineStr">
        <is>
          <t>Tongi-Collegegate</t>
        </is>
      </c>
      <c r="H1035" s="10" t="n">
        <v>3417</v>
      </c>
      <c r="I1035" s="11" t="inlineStr">
        <is>
          <t>Mr. Md. Tarikul Islam</t>
        </is>
      </c>
      <c r="J1035" s="10">
        <f>IF(K1035&gt;0, "Completed", "Pending")</f>
        <v/>
      </c>
      <c r="K1035" s="10">
        <f>COUNTIF('Survey Responses'!F:F, F1035)</f>
        <v/>
      </c>
    </row>
    <row r="1036">
      <c r="A1036" s="10" t="n">
        <v>1035</v>
      </c>
      <c r="B1036" s="11" t="inlineStr">
        <is>
          <t>Uttara (GEN-A)</t>
        </is>
      </c>
      <c r="C1036" s="11" t="inlineStr">
        <is>
          <t>Mr. Subharaj Hossain</t>
        </is>
      </c>
      <c r="D1036" s="11" t="inlineStr">
        <is>
          <t>Tongi GEN-A-1</t>
        </is>
      </c>
      <c r="E1036" s="11" t="inlineStr">
        <is>
          <t>Mr. Md. Mahbub Alam Sobuj</t>
        </is>
      </c>
      <c r="F1036" s="10" t="n">
        <v>10744</v>
      </c>
      <c r="G1036" s="11" t="inlineStr">
        <is>
          <t>Tongi-Station Road-1</t>
        </is>
      </c>
      <c r="H1036" s="10" t="n">
        <v>5466</v>
      </c>
      <c r="I1036" s="11" t="inlineStr">
        <is>
          <t>Mr. Md. Aqib Yaman</t>
        </is>
      </c>
      <c r="J1036" s="10">
        <f>IF(K1036&gt;0, "Completed", "Pending")</f>
        <v/>
      </c>
      <c r="K1036" s="10">
        <f>COUNTIF('Survey Responses'!F:F, F1036)</f>
        <v/>
      </c>
    </row>
    <row r="1037">
      <c r="A1037" s="10" t="n">
        <v>1036</v>
      </c>
      <c r="B1037" s="11" t="inlineStr">
        <is>
          <t>Uttara (GEN-A)</t>
        </is>
      </c>
      <c r="C1037" s="11" t="inlineStr">
        <is>
          <t>Mr. Subharaj Hossain</t>
        </is>
      </c>
      <c r="D1037" s="11" t="inlineStr">
        <is>
          <t>Tongi GEN-A-1</t>
        </is>
      </c>
      <c r="E1037" s="11" t="inlineStr">
        <is>
          <t>Mr. Md. Mahbub Alam Sobuj</t>
        </is>
      </c>
      <c r="F1037" s="10" t="n">
        <v>14553</v>
      </c>
      <c r="G1037" s="11" t="inlineStr">
        <is>
          <t>Tongi-Station Road-2</t>
        </is>
      </c>
      <c r="H1037" s="10" t="n">
        <v>7635</v>
      </c>
      <c r="I1037" s="11" t="inlineStr">
        <is>
          <t>Mr. Md. Shariful Islam</t>
        </is>
      </c>
      <c r="J1037" s="10">
        <f>IF(K1037&gt;0, "Completed", "Pending")</f>
        <v/>
      </c>
      <c r="K1037" s="10">
        <f>COUNTIF('Survey Responses'!F:F, F1037)</f>
        <v/>
      </c>
    </row>
    <row r="1038">
      <c r="A1038" s="10" t="n">
        <v>1037</v>
      </c>
      <c r="B1038" s="11" t="inlineStr">
        <is>
          <t>Uttara (GEN-A)</t>
        </is>
      </c>
      <c r="C1038" s="11" t="inlineStr">
        <is>
          <t>Mr. Subharaj Hossain</t>
        </is>
      </c>
      <c r="D1038" s="11" t="inlineStr">
        <is>
          <t>Tongi GEN-A-2</t>
        </is>
      </c>
      <c r="E1038" s="11" t="inlineStr">
        <is>
          <t>Mr. Md. Abdul Kader</t>
        </is>
      </c>
      <c r="F1038" s="10" t="n">
        <v>10751</v>
      </c>
      <c r="G1038" s="11" t="inlineStr">
        <is>
          <t>Boardbazar-Konia</t>
        </is>
      </c>
      <c r="H1038" s="10" t="n">
        <v>6325</v>
      </c>
      <c r="I1038" s="11" t="inlineStr">
        <is>
          <t>Mr. Apurbo Kumer Ray Apu</t>
        </is>
      </c>
      <c r="J1038" s="10">
        <f>IF(K1038&gt;0, "Completed", "Pending")</f>
        <v/>
      </c>
      <c r="K1038" s="10">
        <f>COUNTIF('Survey Responses'!F:F, F1038)</f>
        <v/>
      </c>
    </row>
    <row r="1039">
      <c r="A1039" s="10" t="n">
        <v>1038</v>
      </c>
      <c r="B1039" s="11" t="inlineStr">
        <is>
          <t>Uttara (GEN-A)</t>
        </is>
      </c>
      <c r="C1039" s="11" t="inlineStr">
        <is>
          <t>Mr. Subharaj Hossain</t>
        </is>
      </c>
      <c r="D1039" s="11" t="inlineStr">
        <is>
          <t>Tongi GEN-A-2</t>
        </is>
      </c>
      <c r="E1039" s="11" t="inlineStr">
        <is>
          <t>Mr. Md. Abdul Kader</t>
        </is>
      </c>
      <c r="F1039" s="10" t="n">
        <v>12196</v>
      </c>
      <c r="G1039" s="11" t="inlineStr">
        <is>
          <t>Boardbazar-Maleker Bari</t>
        </is>
      </c>
      <c r="H1039" s="10" t="n">
        <v>8411</v>
      </c>
      <c r="I1039" s="11" t="inlineStr">
        <is>
          <t>Mr. Pronobe Kumar Barman</t>
        </is>
      </c>
      <c r="J1039" s="10">
        <f>IF(K1039&gt;0, "Completed", "Pending")</f>
        <v/>
      </c>
      <c r="K1039" s="10">
        <f>COUNTIF('Survey Responses'!F:F, F1039)</f>
        <v/>
      </c>
    </row>
    <row r="1040">
      <c r="A1040" s="10" t="n">
        <v>1039</v>
      </c>
      <c r="B1040" s="11" t="inlineStr">
        <is>
          <t>Uttara (GEN-A)</t>
        </is>
      </c>
      <c r="C1040" s="11" t="inlineStr">
        <is>
          <t>Mr. Subharaj Hossain</t>
        </is>
      </c>
      <c r="D1040" s="11" t="inlineStr">
        <is>
          <t>Tongi GEN-A-2</t>
        </is>
      </c>
      <c r="E1040" s="11" t="inlineStr">
        <is>
          <t>Mr. Md. Abdul Kader</t>
        </is>
      </c>
      <c r="F1040" s="10" t="n">
        <v>10749</v>
      </c>
      <c r="G1040" s="11" t="inlineStr">
        <is>
          <t>Boardbazar-Signboard</t>
        </is>
      </c>
      <c r="H1040" s="10" t="n">
        <v>3930</v>
      </c>
      <c r="I1040" s="11" t="inlineStr">
        <is>
          <t>Mr. Md. Atikuzzaman</t>
        </is>
      </c>
      <c r="J1040" s="10">
        <f>IF(K1040&gt;0, "Completed", "Pending")</f>
        <v/>
      </c>
      <c r="K1040" s="10">
        <f>COUNTIF('Survey Responses'!F:F, F1040)</f>
        <v/>
      </c>
    </row>
    <row r="1041">
      <c r="A1041" s="10" t="n">
        <v>1040</v>
      </c>
      <c r="B1041" s="11" t="inlineStr">
        <is>
          <t>Uttara (GEN-A)</t>
        </is>
      </c>
      <c r="C1041" s="11" t="inlineStr">
        <is>
          <t>Mr. Subharaj Hossain</t>
        </is>
      </c>
      <c r="D1041" s="11" t="inlineStr">
        <is>
          <t>Tongi GEN-A-2</t>
        </is>
      </c>
      <c r="E1041" s="11" t="inlineStr">
        <is>
          <t>Mr. Md. Abdul Kader</t>
        </is>
      </c>
      <c r="F1041" s="10" t="n">
        <v>14601</v>
      </c>
      <c r="G1041" s="11" t="inlineStr">
        <is>
          <t>Boardbazar-Tairunnessa</t>
        </is>
      </c>
      <c r="H1041" s="10" t="n">
        <v>7732</v>
      </c>
      <c r="I1041" s="11" t="inlineStr">
        <is>
          <t>Mr. Rasel Uddin</t>
        </is>
      </c>
      <c r="J1041" s="10">
        <f>IF(K1041&gt;0, "Completed", "Pending")</f>
        <v/>
      </c>
      <c r="K1041" s="10">
        <f>COUNTIF('Survey Responses'!F:F, F1041)</f>
        <v/>
      </c>
    </row>
    <row r="1042">
      <c r="A1042" s="10" t="n">
        <v>1041</v>
      </c>
      <c r="B1042" s="11" t="inlineStr">
        <is>
          <t>Uttara (GEN-A)</t>
        </is>
      </c>
      <c r="C1042" s="11" t="inlineStr">
        <is>
          <t>Mr. Subharaj Hossain</t>
        </is>
      </c>
      <c r="D1042" s="11" t="inlineStr">
        <is>
          <t>Tongi GEN-A-2</t>
        </is>
      </c>
      <c r="E1042" s="11" t="inlineStr">
        <is>
          <t>Mr. Md. Abdul Kader</t>
        </is>
      </c>
      <c r="F1042" s="10" t="n">
        <v>10750</v>
      </c>
      <c r="G1042" s="11" t="inlineStr">
        <is>
          <t>Boardbazar-TMMCH</t>
        </is>
      </c>
      <c r="H1042" s="10" t="n">
        <v>3252</v>
      </c>
      <c r="I1042" s="11" t="inlineStr">
        <is>
          <t>Md. Sohel Rana</t>
        </is>
      </c>
      <c r="J1042" s="10">
        <f>IF(K1042&gt;0, "Completed", "Pending")</f>
        <v/>
      </c>
      <c r="K1042" s="10">
        <f>COUNTIF('Survey Responses'!F:F, F1042)</f>
        <v/>
      </c>
    </row>
    <row r="1043">
      <c r="A1043" s="10" t="n">
        <v>1042</v>
      </c>
      <c r="B1043" s="11" t="inlineStr">
        <is>
          <t>Uttara (GEN-A)</t>
        </is>
      </c>
      <c r="C1043" s="11" t="inlineStr">
        <is>
          <t>Mr. Subharaj Hossain</t>
        </is>
      </c>
      <c r="D1043" s="11" t="inlineStr">
        <is>
          <t>Tongi GEN-A-2</t>
        </is>
      </c>
      <c r="E1043" s="11" t="inlineStr">
        <is>
          <t>Mr. Md. Abdul Kader</t>
        </is>
      </c>
      <c r="F1043" s="10" t="n">
        <v>10748</v>
      </c>
      <c r="G1043" s="11" t="inlineStr">
        <is>
          <t>TIMCH (Sataish)</t>
        </is>
      </c>
      <c r="H1043" s="10" t="n">
        <v>6249</v>
      </c>
      <c r="I1043" s="11" t="inlineStr">
        <is>
          <t>Mr. Md. Saiful Islam</t>
        </is>
      </c>
      <c r="J1043" s="10">
        <f>IF(K1043&gt;0, "Completed", "Pending")</f>
        <v/>
      </c>
      <c r="K1043" s="10">
        <f>COUNTIF('Survey Responses'!F:F, F1043)</f>
        <v/>
      </c>
    </row>
    <row r="1044">
      <c r="A1044" s="10" t="n">
        <v>1043</v>
      </c>
      <c r="B1044" s="11" t="inlineStr">
        <is>
          <t>Uttara (GEN-A)</t>
        </is>
      </c>
      <c r="C1044" s="11" t="inlineStr">
        <is>
          <t>Mr. Subharaj Hossain</t>
        </is>
      </c>
      <c r="D1044" s="11" t="inlineStr">
        <is>
          <t>Tongi GEN-A-2</t>
        </is>
      </c>
      <c r="E1044" s="11" t="inlineStr">
        <is>
          <t>Mr. Md. Abdul Kader</t>
        </is>
      </c>
      <c r="F1044" s="10" t="n">
        <v>10746</v>
      </c>
      <c r="G1044" s="11" t="inlineStr">
        <is>
          <t>Tongi-Hossain Market</t>
        </is>
      </c>
      <c r="H1044" s="10" t="n">
        <v>5384</v>
      </c>
      <c r="I1044" s="11" t="inlineStr">
        <is>
          <t>Md. Jasiar Rahman</t>
        </is>
      </c>
      <c r="J1044" s="10">
        <f>IF(K1044&gt;0, "Completed", "Pending")</f>
        <v/>
      </c>
      <c r="K1044" s="10">
        <f>COUNTIF('Survey Responses'!F:F, F1044)</f>
        <v/>
      </c>
    </row>
    <row r="1045">
      <c r="A1045" s="10" t="n">
        <v>1044</v>
      </c>
      <c r="B1045" s="11" t="inlineStr">
        <is>
          <t>Uttara (GEN-A)</t>
        </is>
      </c>
      <c r="C1045" s="11" t="inlineStr">
        <is>
          <t>Mr. Subharaj Hossain</t>
        </is>
      </c>
      <c r="D1045" s="11" t="inlineStr">
        <is>
          <t>Uttara GEN-A-1</t>
        </is>
      </c>
      <c r="E1045" s="11" t="inlineStr">
        <is>
          <t>Mr. Md. Enamul Haque</t>
        </is>
      </c>
      <c r="F1045" s="10" t="n">
        <v>10739</v>
      </c>
      <c r="G1045" s="11" t="inlineStr">
        <is>
          <t>Aichi Hospital-Ati Para</t>
        </is>
      </c>
      <c r="H1045" s="10" t="n">
        <v>5816</v>
      </c>
      <c r="I1045" s="11" t="inlineStr">
        <is>
          <t>Mr. Md. Sirazul Islam</t>
        </is>
      </c>
      <c r="J1045" s="10">
        <f>IF(K1045&gt;0, "Completed", "Pending")</f>
        <v/>
      </c>
      <c r="K1045" s="10">
        <f>COUNTIF('Survey Responses'!F:F, F1045)</f>
        <v/>
      </c>
    </row>
    <row r="1046">
      <c r="A1046" s="10" t="n">
        <v>1045</v>
      </c>
      <c r="B1046" s="11" t="inlineStr">
        <is>
          <t>Uttara (GEN-A)</t>
        </is>
      </c>
      <c r="C1046" s="11" t="inlineStr">
        <is>
          <t>Mr. Subharaj Hossain</t>
        </is>
      </c>
      <c r="D1046" s="11" t="inlineStr">
        <is>
          <t>Uttara GEN-A-1</t>
        </is>
      </c>
      <c r="E1046" s="11" t="inlineStr">
        <is>
          <t>Mr. Md. Enamul Haque</t>
        </is>
      </c>
      <c r="F1046" s="10" t="n">
        <v>10738</v>
      </c>
      <c r="G1046" s="11" t="inlineStr">
        <is>
          <t>Lubana General Hospital</t>
        </is>
      </c>
      <c r="H1046" s="10" t="n">
        <v>6665</v>
      </c>
      <c r="I1046" s="11" t="inlineStr">
        <is>
          <t>Mr. Md. Monzurul Islam</t>
        </is>
      </c>
      <c r="J1046" s="10">
        <f>IF(K1046&gt;0, "Completed", "Pending")</f>
        <v/>
      </c>
      <c r="K1046" s="10">
        <f>COUNTIF('Survey Responses'!F:F, F1046)</f>
        <v/>
      </c>
    </row>
    <row r="1047">
      <c r="A1047" s="10" t="n">
        <v>1046</v>
      </c>
      <c r="B1047" s="11" t="inlineStr">
        <is>
          <t>Uttara (GEN-A)</t>
        </is>
      </c>
      <c r="C1047" s="11" t="inlineStr">
        <is>
          <t>Mr. Subharaj Hossain</t>
        </is>
      </c>
      <c r="D1047" s="11" t="inlineStr">
        <is>
          <t>Uttara GEN-A-1</t>
        </is>
      </c>
      <c r="E1047" s="11" t="inlineStr">
        <is>
          <t>Mr. Md. Enamul Haque</t>
        </is>
      </c>
      <c r="F1047" s="10" t="n">
        <v>13037</v>
      </c>
      <c r="G1047" s="11" t="inlineStr">
        <is>
          <t>Lubana General Hospital-2</t>
        </is>
      </c>
      <c r="H1047" s="10" t="n">
        <v>7122</v>
      </c>
      <c r="I1047" s="11" t="inlineStr">
        <is>
          <t>Mr. Md. Samaul Kabir</t>
        </is>
      </c>
      <c r="J1047" s="10">
        <f>IF(K1047&gt;0, "Completed", "Pending")</f>
        <v/>
      </c>
      <c r="K1047" s="10">
        <f>COUNTIF('Survey Responses'!F:F, F1047)</f>
        <v/>
      </c>
    </row>
    <row r="1048">
      <c r="A1048" s="10" t="n">
        <v>1047</v>
      </c>
      <c r="B1048" s="11" t="inlineStr">
        <is>
          <t>Uttara (GEN-A)</t>
        </is>
      </c>
      <c r="C1048" s="11" t="inlineStr">
        <is>
          <t>Mr. Subharaj Hossain</t>
        </is>
      </c>
      <c r="D1048" s="11" t="inlineStr">
        <is>
          <t>Uttara GEN-A-1</t>
        </is>
      </c>
      <c r="E1048" s="11" t="inlineStr">
        <is>
          <t>Mr. Md. Enamul Haque</t>
        </is>
      </c>
      <c r="F1048" s="10" t="n">
        <v>13301</v>
      </c>
      <c r="G1048" s="11" t="inlineStr">
        <is>
          <t>Shin Shin JH-Monsur Ali MCH</t>
        </is>
      </c>
      <c r="H1048" s="10" t="n">
        <v>8734</v>
      </c>
      <c r="I1048" s="11" t="inlineStr">
        <is>
          <t>Mr. Habibur Rahman</t>
        </is>
      </c>
      <c r="J1048" s="10">
        <f>IF(K1048&gt;0, "Completed", "Pending")</f>
        <v/>
      </c>
      <c r="K1048" s="10">
        <f>COUNTIF('Survey Responses'!F:F, F1048)</f>
        <v/>
      </c>
    </row>
    <row r="1049">
      <c r="A1049" s="10" t="n">
        <v>1048</v>
      </c>
      <c r="B1049" s="11" t="inlineStr">
        <is>
          <t>Uttara (GEN-A)</t>
        </is>
      </c>
      <c r="C1049" s="11" t="inlineStr">
        <is>
          <t>Mr. Subharaj Hossain</t>
        </is>
      </c>
      <c r="D1049" s="11" t="inlineStr">
        <is>
          <t>Uttara GEN-A-1</t>
        </is>
      </c>
      <c r="E1049" s="11" t="inlineStr">
        <is>
          <t>Mr. Md. Enamul Haque</t>
        </is>
      </c>
      <c r="F1049" s="10" t="n">
        <v>12674</v>
      </c>
      <c r="G1049" s="11" t="inlineStr">
        <is>
          <t>Uttara Ahsania MCH</t>
        </is>
      </c>
      <c r="H1049" s="10" t="n">
        <v>895</v>
      </c>
      <c r="I1049" s="11" t="inlineStr">
        <is>
          <t>Md. Lutfar Rahman</t>
        </is>
      </c>
      <c r="J1049" s="10">
        <f>IF(K1049&gt;0, "Completed", "Pending")</f>
        <v/>
      </c>
      <c r="K1049" s="10">
        <f>COUNTIF('Survey Responses'!F:F, F1049)</f>
        <v/>
      </c>
    </row>
    <row r="1050">
      <c r="A1050" s="10" t="n">
        <v>1049</v>
      </c>
      <c r="B1050" s="11" t="inlineStr">
        <is>
          <t>Uttara (GEN-A)</t>
        </is>
      </c>
      <c r="C1050" s="11" t="inlineStr">
        <is>
          <t>Mr. Subharaj Hossain</t>
        </is>
      </c>
      <c r="D1050" s="11" t="inlineStr">
        <is>
          <t>Uttara GEN-A-1</t>
        </is>
      </c>
      <c r="E1050" s="11" t="inlineStr">
        <is>
          <t>Mr. Md. Enamul Haque</t>
        </is>
      </c>
      <c r="F1050" s="10" t="n">
        <v>14878</v>
      </c>
      <c r="G1050" s="11" t="inlineStr">
        <is>
          <t>Uttara East-West MCH-1</t>
        </is>
      </c>
      <c r="H1050" s="10" t="n">
        <v>9002</v>
      </c>
      <c r="I1050" s="11" t="inlineStr">
        <is>
          <t>Mr. Md. Masud Rana</t>
        </is>
      </c>
      <c r="J1050" s="10">
        <f>IF(K1050&gt;0, "Completed", "Pending")</f>
        <v/>
      </c>
      <c r="K1050" s="10">
        <f>COUNTIF('Survey Responses'!F:F, F1050)</f>
        <v/>
      </c>
    </row>
    <row r="1051">
      <c r="A1051" s="10" t="n">
        <v>1050</v>
      </c>
      <c r="B1051" s="11" t="inlineStr">
        <is>
          <t>Uttara (GEN-A)</t>
        </is>
      </c>
      <c r="C1051" s="11" t="inlineStr">
        <is>
          <t>Mr. Subharaj Hossain</t>
        </is>
      </c>
      <c r="D1051" s="11" t="inlineStr">
        <is>
          <t>Uttara GEN-A-1</t>
        </is>
      </c>
      <c r="E1051" s="11" t="inlineStr">
        <is>
          <t>Mr. Md. Enamul Haque</t>
        </is>
      </c>
      <c r="F1051" s="10" t="n">
        <v>12530</v>
      </c>
      <c r="G1051" s="11" t="inlineStr">
        <is>
          <t>Uttara Mohila O Shishu-Atipara-AASTER</t>
        </is>
      </c>
      <c r="H1051" s="10" t="n">
        <v>6044</v>
      </c>
      <c r="I1051" s="11" t="inlineStr">
        <is>
          <t>Mr. Kazi Nadim Mahmud</t>
        </is>
      </c>
      <c r="J1051" s="10">
        <f>IF(K1051&gt;0, "Completed", "Pending")</f>
        <v/>
      </c>
      <c r="K1051" s="10">
        <f>COUNTIF('Survey Responses'!F:F, F1051)</f>
        <v/>
      </c>
    </row>
    <row r="1052">
      <c r="A1052" s="10" t="n">
        <v>1051</v>
      </c>
      <c r="B1052" s="11" t="inlineStr">
        <is>
          <t>Uttara (GEN-A)</t>
        </is>
      </c>
      <c r="C1052" s="11" t="inlineStr">
        <is>
          <t>Mr. Subharaj Hossain</t>
        </is>
      </c>
      <c r="D1052" s="11" t="inlineStr">
        <is>
          <t>Uttara GEN-A-1</t>
        </is>
      </c>
      <c r="E1052" s="11" t="inlineStr">
        <is>
          <t>Mr. Md. Enamul Haque</t>
        </is>
      </c>
      <c r="F1052" s="10" t="n">
        <v>10723</v>
      </c>
      <c r="G1052" s="11" t="inlineStr">
        <is>
          <t>Uttara Monsur Ali MCH</t>
        </is>
      </c>
      <c r="H1052" s="10" t="n">
        <v>1679</v>
      </c>
      <c r="I1052" s="11" t="inlineStr">
        <is>
          <t>Shibesh Kumar</t>
        </is>
      </c>
      <c r="J1052" s="10">
        <f>IF(K1052&gt;0, "Completed", "Pending")</f>
        <v/>
      </c>
      <c r="K1052" s="10">
        <f>COUNTIF('Survey Responses'!F:F, F1052)</f>
        <v/>
      </c>
    </row>
    <row r="1053">
      <c r="A1053" s="10" t="n">
        <v>1052</v>
      </c>
      <c r="B1053" s="11" t="inlineStr">
        <is>
          <t>Uttara (GEN-A)</t>
        </is>
      </c>
      <c r="C1053" s="11" t="inlineStr">
        <is>
          <t>Mr. Subharaj Hossain</t>
        </is>
      </c>
      <c r="D1053" s="11" t="inlineStr">
        <is>
          <t>Uttara GEN-A-2</t>
        </is>
      </c>
      <c r="E1053" s="11" t="inlineStr">
        <is>
          <t>Mr. Uzzal Kumar Saha</t>
        </is>
      </c>
      <c r="F1053" s="10" t="n">
        <v>10730</v>
      </c>
      <c r="G1053" s="11" t="inlineStr">
        <is>
          <t>Dokkhin Khan-KC Hospital</t>
        </is>
      </c>
      <c r="H1053" s="10" t="n">
        <v>3017</v>
      </c>
      <c r="I1053" s="11" t="inlineStr">
        <is>
          <t>Krishna Chandra Roy</t>
        </is>
      </c>
      <c r="J1053" s="10">
        <f>IF(K1053&gt;0, "Completed", "Pending")</f>
        <v/>
      </c>
      <c r="K1053" s="10">
        <f>COUNTIF('Survey Responses'!F:F, F1053)</f>
        <v/>
      </c>
    </row>
    <row r="1054">
      <c r="A1054" s="10" t="n">
        <v>1053</v>
      </c>
      <c r="B1054" s="11" t="inlineStr">
        <is>
          <t>Uttara (GEN-A)</t>
        </is>
      </c>
      <c r="C1054" s="11" t="inlineStr">
        <is>
          <t>Mr. Subharaj Hossain</t>
        </is>
      </c>
      <c r="D1054" s="11" t="inlineStr">
        <is>
          <t>Uttara GEN-A-2</t>
        </is>
      </c>
      <c r="E1054" s="11" t="inlineStr">
        <is>
          <t>Mr. Uzzal Kumar Saha</t>
        </is>
      </c>
      <c r="F1054" s="10" t="n">
        <v>10725</v>
      </c>
      <c r="G1054" s="11" t="inlineStr">
        <is>
          <t>Uttara Lab Aid-1-Kuwait Maitree Hospital</t>
        </is>
      </c>
      <c r="H1054" s="10" t="n">
        <v>7125</v>
      </c>
      <c r="I1054" s="11" t="inlineStr">
        <is>
          <t>Mr. Avishek Kumar Das</t>
        </is>
      </c>
      <c r="J1054" s="10">
        <f>IF(K1054&gt;0, "Completed", "Pending")</f>
        <v/>
      </c>
      <c r="K1054" s="10">
        <f>COUNTIF('Survey Responses'!F:F, F1054)</f>
        <v/>
      </c>
    </row>
    <row r="1055">
      <c r="A1055" s="10" t="n">
        <v>1054</v>
      </c>
      <c r="B1055" s="11" t="inlineStr">
        <is>
          <t>Uttara (GEN-A)</t>
        </is>
      </c>
      <c r="C1055" s="11" t="inlineStr">
        <is>
          <t>Mr. Subharaj Hossain</t>
        </is>
      </c>
      <c r="D1055" s="11" t="inlineStr">
        <is>
          <t>Uttara GEN-A-2</t>
        </is>
      </c>
      <c r="E1055" s="11" t="inlineStr">
        <is>
          <t>Mr. Uzzal Kumar Saha</t>
        </is>
      </c>
      <c r="F1055" s="10" t="n">
        <v>10724</v>
      </c>
      <c r="G1055" s="11" t="inlineStr">
        <is>
          <t>Uttara NHN-Kuwait Maitree Hospital</t>
        </is>
      </c>
      <c r="H1055" s="10" t="n">
        <v>5060</v>
      </c>
      <c r="I1055" s="11" t="inlineStr">
        <is>
          <t>Mr. Md. Nahid Hossain</t>
        </is>
      </c>
      <c r="J1055" s="10">
        <f>IF(K1055&gt;0, "Completed", "Pending")</f>
        <v/>
      </c>
      <c r="K1055" s="10">
        <f>COUNTIF('Survey Responses'!F:F, F1055)</f>
        <v/>
      </c>
    </row>
    <row r="1056">
      <c r="A1056" s="10" t="n">
        <v>1055</v>
      </c>
      <c r="B1056" s="11" t="inlineStr">
        <is>
          <t>Uttara (GEN-A)</t>
        </is>
      </c>
      <c r="C1056" s="11" t="inlineStr">
        <is>
          <t>Mr. Subharaj Hossain</t>
        </is>
      </c>
      <c r="D1056" s="11" t="inlineStr">
        <is>
          <t>Uttara GEN-A-2</t>
        </is>
      </c>
      <c r="E1056" s="11" t="inlineStr">
        <is>
          <t>Mr. Uzzal Kumar Saha</t>
        </is>
      </c>
      <c r="F1056" s="10" t="n">
        <v>12456</v>
      </c>
      <c r="G1056" s="11" t="inlineStr">
        <is>
          <t>Uttara NHN-Lab Aid-1</t>
        </is>
      </c>
      <c r="H1056" s="10" t="n">
        <v>3926</v>
      </c>
      <c r="I1056" s="11" t="inlineStr">
        <is>
          <t>Mr. Md. Shahriar Nafis</t>
        </is>
      </c>
      <c r="J1056" s="10">
        <f>IF(K1056&gt;0, "Completed", "Pending")</f>
        <v/>
      </c>
      <c r="K1056" s="10">
        <f>COUNTIF('Survey Responses'!F:F, F1056)</f>
        <v/>
      </c>
    </row>
    <row r="1057">
      <c r="A1057" s="10" t="n">
        <v>1056</v>
      </c>
      <c r="B1057" s="11" t="inlineStr">
        <is>
          <t>Uttara (GEN-A)</t>
        </is>
      </c>
      <c r="C1057" s="11" t="inlineStr">
        <is>
          <t>Mr. Subharaj Hossain</t>
        </is>
      </c>
      <c r="D1057" s="11" t="inlineStr">
        <is>
          <t>Uttara GEN-A-2</t>
        </is>
      </c>
      <c r="E1057" s="11" t="inlineStr">
        <is>
          <t>Mr. Uzzal Kumar Saha</t>
        </is>
      </c>
      <c r="F1057" s="10" t="n">
        <v>12531</v>
      </c>
      <c r="G1057" s="11" t="inlineStr">
        <is>
          <t>Uttara Popular-AR Raha Hospital</t>
        </is>
      </c>
      <c r="H1057" s="10" t="n">
        <v>3931</v>
      </c>
      <c r="I1057" s="11" t="inlineStr">
        <is>
          <t>Mr. Md. Jahid Al Mamun</t>
        </is>
      </c>
      <c r="J1057" s="10">
        <f>IF(K1057&gt;0, "Completed", "Pending")</f>
        <v/>
      </c>
      <c r="K1057" s="10">
        <f>COUNTIF('Survey Responses'!F:F, F1057)</f>
        <v/>
      </c>
    </row>
    <row r="1058">
      <c r="A1058" s="10" t="n">
        <v>1057</v>
      </c>
      <c r="B1058" s="11" t="inlineStr">
        <is>
          <t>Uttara (GEN-A)</t>
        </is>
      </c>
      <c r="C1058" s="11" t="inlineStr">
        <is>
          <t>Mr. Subharaj Hossain</t>
        </is>
      </c>
      <c r="D1058" s="11" t="inlineStr">
        <is>
          <t>Uttara GEN-A-2</t>
        </is>
      </c>
      <c r="E1058" s="11" t="inlineStr">
        <is>
          <t>Mr. Uzzal Kumar Saha</t>
        </is>
      </c>
      <c r="F1058" s="10" t="n">
        <v>10729</v>
      </c>
      <c r="G1058" s="11" t="inlineStr">
        <is>
          <t>Uttara Popular-Ashkona</t>
        </is>
      </c>
      <c r="H1058" s="10" t="n">
        <v>1297</v>
      </c>
      <c r="I1058" s="11" t="inlineStr">
        <is>
          <t>Md. Touhidur Rahman Khandaker</t>
        </is>
      </c>
      <c r="J1058" s="10">
        <f>IF(K1058&gt;0, "Completed", "Pending")</f>
        <v/>
      </c>
      <c r="K1058" s="10">
        <f>COUNTIF('Survey Responses'!F:F, F1058)</f>
        <v/>
      </c>
    </row>
    <row r="1059">
      <c r="A1059" s="10" t="n">
        <v>1058</v>
      </c>
      <c r="B1059" s="11" t="inlineStr">
        <is>
          <t>Uttara (GEN-A)</t>
        </is>
      </c>
      <c r="C1059" s="11" t="inlineStr">
        <is>
          <t>Mr. Subharaj Hossain</t>
        </is>
      </c>
      <c r="D1059" s="11" t="inlineStr">
        <is>
          <t>Uttara GEN-A-2</t>
        </is>
      </c>
      <c r="E1059" s="11" t="inlineStr">
        <is>
          <t>Mr. Uzzal Kumar Saha</t>
        </is>
      </c>
      <c r="F1059" s="10" t="n">
        <v>10732</v>
      </c>
      <c r="G1059" s="11" t="inlineStr">
        <is>
          <t>Uttara Popular-Kasaibari</t>
        </is>
      </c>
      <c r="H1059" s="10" t="n">
        <v>2525</v>
      </c>
      <c r="I1059" s="11" t="inlineStr">
        <is>
          <t>Subroto Chandra Dey</t>
        </is>
      </c>
      <c r="J1059" s="10">
        <f>IF(K1059&gt;0, "Completed", "Pending")</f>
        <v/>
      </c>
      <c r="K1059" s="10">
        <f>COUNTIF('Survey Responses'!F:F, F1059)</f>
        <v/>
      </c>
    </row>
    <row r="1060">
      <c r="A1060" s="10" t="n">
        <v>1059</v>
      </c>
      <c r="B1060" s="11" t="inlineStr">
        <is>
          <t>Uttara (GEN-A)</t>
        </is>
      </c>
      <c r="C1060" s="11" t="inlineStr">
        <is>
          <t>Mr. Subharaj Hossain</t>
        </is>
      </c>
      <c r="D1060" s="11" t="inlineStr">
        <is>
          <t>Uttara GEN-A-2</t>
        </is>
      </c>
      <c r="E1060" s="11" t="inlineStr">
        <is>
          <t>Mr. Uzzal Kumar Saha</t>
        </is>
      </c>
      <c r="F1060" s="10" t="n">
        <v>10733</v>
      </c>
      <c r="G1060" s="11" t="inlineStr">
        <is>
          <t>Uttara Popular-Womens Hospital</t>
        </is>
      </c>
      <c r="H1060" s="10" t="n">
        <v>8944</v>
      </c>
      <c r="I1060" s="11" t="inlineStr">
        <is>
          <t>Mr. Md. Faridul Imam</t>
        </is>
      </c>
      <c r="J1060" s="10">
        <f>IF(K1060&gt;0, "Completed", "Pending")</f>
        <v/>
      </c>
      <c r="K1060" s="10">
        <f>COUNTIF('Survey Responses'!F:F, F1060)</f>
        <v/>
      </c>
    </row>
    <row r="1061">
      <c r="A1061" s="10" t="n">
        <v>1060</v>
      </c>
      <c r="B1061" s="11" t="inlineStr">
        <is>
          <t>Uttara (GEN-A)</t>
        </is>
      </c>
      <c r="C1061" s="11" t="inlineStr">
        <is>
          <t>Mr. Subharaj Hossain</t>
        </is>
      </c>
      <c r="D1061" s="11" t="inlineStr">
        <is>
          <t>Uttara GEN-A-3</t>
        </is>
      </c>
      <c r="E1061" s="11" t="inlineStr">
        <is>
          <t>Md. Asif Anam</t>
        </is>
      </c>
      <c r="F1061" s="10" t="n">
        <v>14552</v>
      </c>
      <c r="G1061" s="11" t="inlineStr">
        <is>
          <t>Uttara Adhunik &amp; Popular</t>
        </is>
      </c>
      <c r="H1061" s="10" t="n">
        <v>7629</v>
      </c>
      <c r="I1061" s="11" t="inlineStr">
        <is>
          <t>Mr. Imteaz Uddin Ahmed</t>
        </is>
      </c>
      <c r="J1061" s="10">
        <f>IF(K1061&gt;0, "Completed", "Pending")</f>
        <v/>
      </c>
      <c r="K1061" s="10">
        <f>COUNTIF('Survey Responses'!F:F, F1061)</f>
        <v/>
      </c>
    </row>
    <row r="1062">
      <c r="A1062" s="10" t="n">
        <v>1061</v>
      </c>
      <c r="B1062" s="11" t="inlineStr">
        <is>
          <t>Uttara (GEN-A)</t>
        </is>
      </c>
      <c r="C1062" s="11" t="inlineStr">
        <is>
          <t>Mr. Subharaj Hossain</t>
        </is>
      </c>
      <c r="D1062" s="11" t="inlineStr">
        <is>
          <t>Uttara GEN-A-3</t>
        </is>
      </c>
      <c r="E1062" s="11" t="inlineStr">
        <is>
          <t>Md. Asif Anam</t>
        </is>
      </c>
      <c r="F1062" s="10" t="n">
        <v>10734</v>
      </c>
      <c r="G1062" s="11" t="inlineStr">
        <is>
          <t>Uttara Adhunik Lab Aid-2</t>
        </is>
      </c>
      <c r="H1062" s="10" t="n">
        <v>4152</v>
      </c>
      <c r="I1062" s="11" t="inlineStr">
        <is>
          <t>Mr. Md. Tanvir Ahmed</t>
        </is>
      </c>
      <c r="J1062" s="10">
        <f>IF(K1062&gt;0, "Completed", "Pending")</f>
        <v/>
      </c>
      <c r="K1062" s="10">
        <f>COUNTIF('Survey Responses'!F:F, F1062)</f>
        <v/>
      </c>
    </row>
    <row r="1063">
      <c r="A1063" s="10" t="n">
        <v>1062</v>
      </c>
      <c r="B1063" s="11" t="inlineStr">
        <is>
          <t>Uttara (GEN-A)</t>
        </is>
      </c>
      <c r="C1063" s="11" t="inlineStr">
        <is>
          <t>Mr. Subharaj Hossain</t>
        </is>
      </c>
      <c r="D1063" s="11" t="inlineStr">
        <is>
          <t>Uttara GEN-A-3</t>
        </is>
      </c>
      <c r="E1063" s="11" t="inlineStr">
        <is>
          <t>Md. Asif Anam</t>
        </is>
      </c>
      <c r="F1063" s="10" t="n">
        <v>10737</v>
      </c>
      <c r="G1063" s="11" t="inlineStr">
        <is>
          <t>Uttara Adhunik-Hi Care</t>
        </is>
      </c>
      <c r="H1063" s="10" t="n">
        <v>1569</v>
      </c>
      <c r="I1063" s="11" t="inlineStr">
        <is>
          <t>Golam Rabbani</t>
        </is>
      </c>
      <c r="J1063" s="10">
        <f>IF(K1063&gt;0, "Completed", "Pending")</f>
        <v/>
      </c>
      <c r="K1063" s="10">
        <f>COUNTIF('Survey Responses'!F:F, F1063)</f>
        <v/>
      </c>
    </row>
    <row r="1064">
      <c r="A1064" s="10" t="n">
        <v>1063</v>
      </c>
      <c r="B1064" s="11" t="inlineStr">
        <is>
          <t>Uttara (GEN-A)</t>
        </is>
      </c>
      <c r="C1064" s="11" t="inlineStr">
        <is>
          <t>Mr. Subharaj Hossain</t>
        </is>
      </c>
      <c r="D1064" s="11" t="inlineStr">
        <is>
          <t>Uttara GEN-A-3</t>
        </is>
      </c>
      <c r="E1064" s="11" t="inlineStr">
        <is>
          <t>Md. Asif Anam</t>
        </is>
      </c>
      <c r="F1064" s="10" t="n">
        <v>14884</v>
      </c>
      <c r="G1064" s="11" t="inlineStr">
        <is>
          <t>Uttara Adhunik-Ibn Sina</t>
        </is>
      </c>
      <c r="H1064" s="10" t="n">
        <v>4161</v>
      </c>
      <c r="I1064" s="11" t="inlineStr">
        <is>
          <t>Mr. Md. Ansarul Islam</t>
        </is>
      </c>
      <c r="J1064" s="10">
        <f>IF(K1064&gt;0, "Completed", "Pending")</f>
        <v/>
      </c>
      <c r="K1064" s="10">
        <f>COUNTIF('Survey Responses'!F:F, F1064)</f>
        <v/>
      </c>
    </row>
    <row r="1065">
      <c r="A1065" s="10" t="n">
        <v>1064</v>
      </c>
      <c r="B1065" s="11" t="inlineStr">
        <is>
          <t>Uttara (GEN-A)</t>
        </is>
      </c>
      <c r="C1065" s="11" t="inlineStr">
        <is>
          <t>Mr. Subharaj Hossain</t>
        </is>
      </c>
      <c r="D1065" s="11" t="inlineStr">
        <is>
          <t>Uttara GEN-A-3</t>
        </is>
      </c>
      <c r="E1065" s="11" t="inlineStr">
        <is>
          <t>Md. Asif Anam</t>
        </is>
      </c>
      <c r="F1065" s="10" t="n">
        <v>10735</v>
      </c>
      <c r="G1065" s="11" t="inlineStr">
        <is>
          <t>Uttara Adhunik-Ibn Sina (Extension)</t>
        </is>
      </c>
      <c r="H1065" s="10" t="n">
        <v>901</v>
      </c>
      <c r="I1065" s="11" t="inlineStr">
        <is>
          <t>Md. Rezaul Karim</t>
        </is>
      </c>
      <c r="J1065" s="10">
        <f>IF(K1065&gt;0, "Completed", "Pending")</f>
        <v/>
      </c>
      <c r="K1065" s="10">
        <f>COUNTIF('Survey Responses'!F:F, F1065)</f>
        <v/>
      </c>
    </row>
    <row r="1066">
      <c r="A1066" s="10" t="n">
        <v>1065</v>
      </c>
      <c r="B1066" s="11" t="inlineStr">
        <is>
          <t>Uttara (GEN-A)</t>
        </is>
      </c>
      <c r="C1066" s="11" t="inlineStr">
        <is>
          <t>Mr. Subharaj Hossain</t>
        </is>
      </c>
      <c r="D1066" s="11" t="inlineStr">
        <is>
          <t>Uttara GEN-A-3</t>
        </is>
      </c>
      <c r="E1066" s="11" t="inlineStr">
        <is>
          <t>Md. Asif Anam</t>
        </is>
      </c>
      <c r="F1066" s="10" t="n">
        <v>10736</v>
      </c>
      <c r="G1066" s="11" t="inlineStr">
        <is>
          <t>Uttara Adhunik-Ibn Sina (Main)</t>
        </is>
      </c>
      <c r="H1066" s="10" t="n">
        <v>1405</v>
      </c>
      <c r="I1066" s="11" t="inlineStr">
        <is>
          <t>Md. Ahmed Ali</t>
        </is>
      </c>
      <c r="J1066" s="10">
        <f>IF(K1066&gt;0, "Completed", "Pending")</f>
        <v/>
      </c>
      <c r="K1066" s="10">
        <f>COUNTIF('Survey Responses'!F:F, F1066)</f>
        <v/>
      </c>
    </row>
    <row r="1067">
      <c r="A1067" s="10" t="n">
        <v>1066</v>
      </c>
      <c r="B1067" s="11" t="inlineStr">
        <is>
          <t>Uttara (GEN-A)</t>
        </is>
      </c>
      <c r="C1067" s="11" t="inlineStr">
        <is>
          <t>Mr. Subharaj Hossain</t>
        </is>
      </c>
      <c r="D1067" s="11" t="inlineStr">
        <is>
          <t>Uttara GEN-A-3</t>
        </is>
      </c>
      <c r="E1067" s="11" t="inlineStr">
        <is>
          <t>Md. Asif Anam</t>
        </is>
      </c>
      <c r="F1067" s="10" t="n">
        <v>10726</v>
      </c>
      <c r="G1067" s="11" t="inlineStr">
        <is>
          <t>Uttara Crescent Hospital</t>
        </is>
      </c>
      <c r="H1067" s="10" t="n">
        <v>1549</v>
      </c>
      <c r="I1067" s="11" t="inlineStr">
        <is>
          <t>Md. Faruk Hossain</t>
        </is>
      </c>
      <c r="J1067" s="10">
        <f>IF(K1067&gt;0, "Completed", "Pending")</f>
        <v/>
      </c>
      <c r="K1067" s="10">
        <f>COUNTIF('Survey Responses'!F:F, F1067)</f>
        <v/>
      </c>
    </row>
    <row r="1068">
      <c r="A1068" s="10" t="n">
        <v>1067</v>
      </c>
      <c r="B1068" s="11" t="inlineStr">
        <is>
          <t>Uttara (GEN-A)</t>
        </is>
      </c>
      <c r="C1068" s="11" t="inlineStr">
        <is>
          <t>Mr. Subharaj Hossain</t>
        </is>
      </c>
      <c r="D1068" s="11" t="inlineStr">
        <is>
          <t>Uttara GEN-A-3</t>
        </is>
      </c>
      <c r="E1068" s="11" t="inlineStr">
        <is>
          <t>Md. Asif Anam</t>
        </is>
      </c>
      <c r="F1068" s="10" t="n">
        <v>13052</v>
      </c>
      <c r="G1068" s="11" t="inlineStr">
        <is>
          <t>Uttara Crescent Hospital-Comfort</t>
        </is>
      </c>
      <c r="H1068" s="10" t="n">
        <v>7734</v>
      </c>
      <c r="I1068" s="11" t="inlineStr">
        <is>
          <t>Mr. Md. Santu Rahman</t>
        </is>
      </c>
      <c r="J1068" s="10">
        <f>IF(K1068&gt;0, "Completed", "Pending")</f>
        <v/>
      </c>
      <c r="K1068" s="10">
        <f>COUNTIF('Survey Responses'!F:F, F1068)</f>
        <v/>
      </c>
    </row>
    <row r="1069">
      <c r="A1069" s="10" t="n">
        <v>1068</v>
      </c>
      <c r="B1069" s="11" t="inlineStr">
        <is>
          <t>Uttara (GEN-A)</t>
        </is>
      </c>
      <c r="C1069" s="11" t="inlineStr">
        <is>
          <t>Mr. Subharaj Hossain</t>
        </is>
      </c>
      <c r="D1069" s="11" t="inlineStr">
        <is>
          <t>Uttara GEN-A-3</t>
        </is>
      </c>
      <c r="E1069" s="11" t="inlineStr">
        <is>
          <t>Md. Asif Anam</t>
        </is>
      </c>
      <c r="F1069" s="10" t="n">
        <v>10727</v>
      </c>
      <c r="G1069" s="11" t="inlineStr">
        <is>
          <t>Uttara Crescent-RMC Hospital</t>
        </is>
      </c>
      <c r="H1069" s="10" t="n">
        <v>7566</v>
      </c>
      <c r="I1069" s="11" t="inlineStr">
        <is>
          <t>Mr. Md. Rahat Mahamud</t>
        </is>
      </c>
      <c r="J1069" s="10">
        <f>IF(K1069&gt;0, "Completed", "Pending")</f>
        <v/>
      </c>
      <c r="K1069" s="10">
        <f>COUNTIF('Survey Responses'!F:F, F1069)</f>
        <v/>
      </c>
    </row>
    <row r="1070">
      <c r="A1070" s="10" t="n">
        <v>1069</v>
      </c>
      <c r="B1070" s="11" t="inlineStr">
        <is>
          <t>Dhaka-A (GEN-A)</t>
        </is>
      </c>
      <c r="C1070" s="11" t="inlineStr">
        <is>
          <t>Mr. Md. Jahid Hussain</t>
        </is>
      </c>
      <c r="D1070" s="11" t="inlineStr">
        <is>
          <t>Dhaka GEN-A-17</t>
        </is>
      </c>
      <c r="E1070" s="11" t="inlineStr">
        <is>
          <t>Mr. Ali Ahammed</t>
        </is>
      </c>
      <c r="F1070" s="10" t="n">
        <v>10804</v>
      </c>
      <c r="G1070" s="11" t="inlineStr">
        <is>
          <t>Azmol Hosp-Kidney Foundation</t>
        </is>
      </c>
      <c r="H1070" s="10" t="n">
        <v>6604</v>
      </c>
      <c r="I1070" s="11" t="inlineStr">
        <is>
          <t>Mr. Md. Rasel Mia</t>
        </is>
      </c>
      <c r="J1070" s="10">
        <f>IF(K1070&gt;0, "Completed", "Pending")</f>
        <v/>
      </c>
      <c r="K1070" s="10">
        <f>COUNTIF('Survey Responses'!F:F, F1070)</f>
        <v/>
      </c>
    </row>
    <row r="1071">
      <c r="A1071" s="10" t="n">
        <v>1070</v>
      </c>
      <c r="B1071" s="11" t="inlineStr">
        <is>
          <t>Dhaka-A (GEN-A)</t>
        </is>
      </c>
      <c r="C1071" s="11" t="inlineStr">
        <is>
          <t>Mr. Md. Jahid Hussain</t>
        </is>
      </c>
      <c r="D1071" s="11" t="inlineStr">
        <is>
          <t>Dhaka GEN-A-17</t>
        </is>
      </c>
      <c r="E1071" s="11" t="inlineStr">
        <is>
          <t>Mr. Ali Ahammed</t>
        </is>
      </c>
      <c r="F1071" s="10" t="n">
        <v>10810</v>
      </c>
      <c r="G1071" s="11" t="inlineStr">
        <is>
          <t>ICH-Mirpur</t>
        </is>
      </c>
      <c r="H1071" s="10" t="n">
        <v>2879</v>
      </c>
      <c r="I1071" s="11" t="inlineStr">
        <is>
          <t>Md. Lutfar Rahman</t>
        </is>
      </c>
      <c r="J1071" s="10">
        <f>IF(K1071&gt;0, "Completed", "Pending")</f>
        <v/>
      </c>
      <c r="K1071" s="10">
        <f>COUNTIF('Survey Responses'!F:F, F1071)</f>
        <v/>
      </c>
    </row>
    <row r="1072">
      <c r="A1072" s="10" t="n">
        <v>1071</v>
      </c>
      <c r="B1072" s="11" t="inlineStr">
        <is>
          <t>Dhaka-A (GEN-A)</t>
        </is>
      </c>
      <c r="C1072" s="11" t="inlineStr">
        <is>
          <t>Mr. Md. Jahid Hussain</t>
        </is>
      </c>
      <c r="D1072" s="11" t="inlineStr">
        <is>
          <t>Dhaka GEN-A-17</t>
        </is>
      </c>
      <c r="E1072" s="11" t="inlineStr">
        <is>
          <t>Mr. Ali Ahammed</t>
        </is>
      </c>
      <c r="F1072" s="10" t="n">
        <v>14871</v>
      </c>
      <c r="G1072" s="11" t="inlineStr">
        <is>
          <t>NHF-Aalok Healthcare</t>
        </is>
      </c>
      <c r="H1072" s="10" t="n">
        <v>0</v>
      </c>
      <c r="I1072" s="11" t="inlineStr">
        <is>
          <t>NHF-Aalok Healthcare</t>
        </is>
      </c>
      <c r="J1072" s="10">
        <f>IF(K1072&gt;0, "Completed", "Pending")</f>
        <v/>
      </c>
      <c r="K1072" s="10">
        <f>COUNTIF('Survey Responses'!F:F, F1072)</f>
        <v/>
      </c>
    </row>
    <row r="1073">
      <c r="A1073" s="10" t="n">
        <v>1072</v>
      </c>
      <c r="B1073" s="11" t="inlineStr">
        <is>
          <t>Dhaka-A (GEN-A)</t>
        </is>
      </c>
      <c r="C1073" s="11" t="inlineStr">
        <is>
          <t>Mr. Md. Jahid Hussain</t>
        </is>
      </c>
      <c r="D1073" s="11" t="inlineStr">
        <is>
          <t>Dhaka GEN-A-17</t>
        </is>
      </c>
      <c r="E1073" s="11" t="inlineStr">
        <is>
          <t>Mr. Ali Ahammed</t>
        </is>
      </c>
      <c r="F1073" s="10" t="n">
        <v>10809</v>
      </c>
      <c r="G1073" s="11" t="inlineStr">
        <is>
          <t>NHF-Indoor</t>
        </is>
      </c>
      <c r="H1073" s="10" t="n">
        <v>8642</v>
      </c>
      <c r="I1073" s="11" t="inlineStr">
        <is>
          <t>Mr. Md. Faysal Rahman</t>
        </is>
      </c>
      <c r="J1073" s="10">
        <f>IF(K1073&gt;0, "Completed", "Pending")</f>
        <v/>
      </c>
      <c r="K1073" s="10">
        <f>COUNTIF('Survey Responses'!F:F, F1073)</f>
        <v/>
      </c>
    </row>
    <row r="1074">
      <c r="A1074" s="10" t="n">
        <v>1073</v>
      </c>
      <c r="B1074" s="11" t="inlineStr">
        <is>
          <t>Dhaka-A (GEN-A)</t>
        </is>
      </c>
      <c r="C1074" s="11" t="inlineStr">
        <is>
          <t>Mr. Md. Jahid Hussain</t>
        </is>
      </c>
      <c r="D1074" s="11" t="inlineStr">
        <is>
          <t>Dhaka GEN-A-17</t>
        </is>
      </c>
      <c r="E1074" s="11" t="inlineStr">
        <is>
          <t>Mr. Ali Ahammed</t>
        </is>
      </c>
      <c r="F1074" s="10" t="n">
        <v>10808</v>
      </c>
      <c r="G1074" s="11" t="inlineStr">
        <is>
          <t xml:space="preserve">NHF-Mirpur </t>
        </is>
      </c>
      <c r="H1074" s="10" t="n">
        <v>1464</v>
      </c>
      <c r="I1074" s="11" t="inlineStr">
        <is>
          <t>Mamun Hossain</t>
        </is>
      </c>
      <c r="J1074" s="10">
        <f>IF(K1074&gt;0, "Completed", "Pending")</f>
        <v/>
      </c>
      <c r="K1074" s="10">
        <f>COUNTIF('Survey Responses'!F:F, F1074)</f>
        <v/>
      </c>
    </row>
    <row r="1075">
      <c r="A1075" s="10" t="n">
        <v>1074</v>
      </c>
      <c r="B1075" s="11" t="inlineStr">
        <is>
          <t>Dhaka-A (GEN-A)</t>
        </is>
      </c>
      <c r="C1075" s="11" t="inlineStr">
        <is>
          <t>Mr. Md. Jahid Hussain</t>
        </is>
      </c>
      <c r="D1075" s="11" t="inlineStr">
        <is>
          <t>Dhaka GEN-A-17</t>
        </is>
      </c>
      <c r="E1075" s="11" t="inlineStr">
        <is>
          <t>Mr. Ali Ahammed</t>
        </is>
      </c>
      <c r="F1075" s="10" t="n">
        <v>13256</v>
      </c>
      <c r="G1075" s="11" t="inlineStr">
        <is>
          <t>NINS-Aalok Healthcare</t>
        </is>
      </c>
      <c r="H1075" s="10" t="n">
        <v>8936</v>
      </c>
      <c r="I1075" s="11" t="inlineStr">
        <is>
          <t>Mr. Md. Abdul Momin</t>
        </is>
      </c>
      <c r="J1075" s="10">
        <f>IF(K1075&gt;0, "Completed", "Pending")</f>
        <v/>
      </c>
      <c r="K1075" s="10">
        <f>COUNTIF('Survey Responses'!F:F, F1075)</f>
        <v/>
      </c>
    </row>
    <row r="1076">
      <c r="A1076" s="10" t="n">
        <v>1075</v>
      </c>
      <c r="B1076" s="11" t="inlineStr">
        <is>
          <t>Dhaka-A (GEN-A)</t>
        </is>
      </c>
      <c r="C1076" s="11" t="inlineStr">
        <is>
          <t>Mr. Md. Jahid Hussain</t>
        </is>
      </c>
      <c r="D1076" s="11" t="inlineStr">
        <is>
          <t>Dhaka GEN-A-17</t>
        </is>
      </c>
      <c r="E1076" s="11" t="inlineStr">
        <is>
          <t>Mr. Ali Ahammed</t>
        </is>
      </c>
      <c r="F1076" s="10" t="n">
        <v>10794</v>
      </c>
      <c r="G1076" s="11" t="inlineStr">
        <is>
          <t>NITOR-Aalok Healthcare</t>
        </is>
      </c>
      <c r="H1076" s="10" t="n">
        <v>3419</v>
      </c>
      <c r="I1076" s="11" t="inlineStr">
        <is>
          <t>Mr. Md. Moniruzzaman</t>
        </is>
      </c>
      <c r="J1076" s="10">
        <f>IF(K1076&gt;0, "Completed", "Pending")</f>
        <v/>
      </c>
      <c r="K1076" s="10">
        <f>COUNTIF('Survey Responses'!F:F, F1076)</f>
        <v/>
      </c>
    </row>
    <row r="1077">
      <c r="A1077" s="10" t="n">
        <v>1076</v>
      </c>
      <c r="B1077" s="11" t="inlineStr">
        <is>
          <t>Dhaka-A (GEN-A)</t>
        </is>
      </c>
      <c r="C1077" s="11" t="inlineStr">
        <is>
          <t>Mr. Md. Jahid Hussain</t>
        </is>
      </c>
      <c r="D1077" s="11" t="inlineStr">
        <is>
          <t>Dhaka GEN-A-17</t>
        </is>
      </c>
      <c r="E1077" s="11" t="inlineStr">
        <is>
          <t>Mr. Ali Ahammed</t>
        </is>
      </c>
      <c r="F1077" s="10" t="n">
        <v>13639</v>
      </c>
      <c r="G1077" s="11" t="inlineStr">
        <is>
          <t>Popular-Mirpur-6</t>
        </is>
      </c>
      <c r="H1077" s="10" t="n">
        <v>7268</v>
      </c>
      <c r="I1077" s="11" t="inlineStr">
        <is>
          <t>Mr. Md. Delowar Hossain</t>
        </is>
      </c>
      <c r="J1077" s="10">
        <f>IF(K1077&gt;0, "Completed", "Pending")</f>
        <v/>
      </c>
      <c r="K1077" s="10">
        <f>COUNTIF('Survey Responses'!F:F, F1077)</f>
        <v/>
      </c>
    </row>
    <row r="1078">
      <c r="A1078" s="10" t="n">
        <v>1077</v>
      </c>
      <c r="B1078" s="11" t="inlineStr">
        <is>
          <t>Dhaka-A (GEN-A)</t>
        </is>
      </c>
      <c r="C1078" s="11" t="inlineStr">
        <is>
          <t>Mr. Md. Jahid Hussain</t>
        </is>
      </c>
      <c r="D1078" s="11" t="inlineStr">
        <is>
          <t>Dhaka GEN-A-21</t>
        </is>
      </c>
      <c r="E1078" s="11" t="inlineStr">
        <is>
          <t>Mr. Md. Khademul Basar</t>
        </is>
      </c>
      <c r="F1078" s="10" t="n">
        <v>12589</v>
      </c>
      <c r="G1078" s="11" t="inlineStr">
        <is>
          <t>Delta-DG Lab-1</t>
        </is>
      </c>
      <c r="H1078" s="10" t="n">
        <v>1793</v>
      </c>
      <c r="I1078" s="11" t="inlineStr">
        <is>
          <t>Md. Rezaul Karim</t>
        </is>
      </c>
      <c r="J1078" s="10">
        <f>IF(K1078&gt;0, "Completed", "Pending")</f>
        <v/>
      </c>
      <c r="K1078" s="10">
        <f>COUNTIF('Survey Responses'!F:F, F1078)</f>
        <v/>
      </c>
    </row>
    <row r="1079">
      <c r="A1079" s="10" t="n">
        <v>1078</v>
      </c>
      <c r="B1079" s="11" t="inlineStr">
        <is>
          <t>Dhaka-A (GEN-A)</t>
        </is>
      </c>
      <c r="C1079" s="11" t="inlineStr">
        <is>
          <t>Mr. Md. Jahid Hussain</t>
        </is>
      </c>
      <c r="D1079" s="11" t="inlineStr">
        <is>
          <t>Dhaka GEN-A-21</t>
        </is>
      </c>
      <c r="E1079" s="11" t="inlineStr">
        <is>
          <t>Mr. Md. Khademul Basar</t>
        </is>
      </c>
      <c r="F1079" s="10" t="n">
        <v>10805</v>
      </c>
      <c r="G1079" s="11" t="inlineStr">
        <is>
          <t>IBH-DSH-1</t>
        </is>
      </c>
      <c r="H1079" s="10" t="n">
        <v>1553</v>
      </c>
      <c r="I1079" s="11" t="inlineStr">
        <is>
          <t>Md. Mizanur Rahman</t>
        </is>
      </c>
      <c r="J1079" s="10">
        <f>IF(K1079&gt;0, "Completed", "Pending")</f>
        <v/>
      </c>
      <c r="K1079" s="10">
        <f>COUNTIF('Survey Responses'!F:F, F1079)</f>
        <v/>
      </c>
    </row>
    <row r="1080">
      <c r="A1080" s="10" t="n">
        <v>1079</v>
      </c>
      <c r="B1080" s="11" t="inlineStr">
        <is>
          <t>Dhaka-A (GEN-A)</t>
        </is>
      </c>
      <c r="C1080" s="11" t="inlineStr">
        <is>
          <t>Mr. Md. Jahid Hussain</t>
        </is>
      </c>
      <c r="D1080" s="11" t="inlineStr">
        <is>
          <t>Dhaka GEN-A-21</t>
        </is>
      </c>
      <c r="E1080" s="11" t="inlineStr">
        <is>
          <t>Mr. Md. Khademul Basar</t>
        </is>
      </c>
      <c r="F1080" s="10" t="n">
        <v>10806</v>
      </c>
      <c r="G1080" s="11" t="inlineStr">
        <is>
          <t>IBH-DSH-2</t>
        </is>
      </c>
      <c r="H1080" s="10" t="n">
        <v>5382</v>
      </c>
      <c r="I1080" s="11" t="inlineStr">
        <is>
          <t>Md. Rabiul Aual</t>
        </is>
      </c>
      <c r="J1080" s="10">
        <f>IF(K1080&gt;0, "Completed", "Pending")</f>
        <v/>
      </c>
      <c r="K1080" s="10">
        <f>COUNTIF('Survey Responses'!F:F, F1080)</f>
        <v/>
      </c>
    </row>
    <row r="1081">
      <c r="A1081" s="10" t="n">
        <v>1080</v>
      </c>
      <c r="B1081" s="11" t="inlineStr">
        <is>
          <t>Dhaka-A (GEN-A)</t>
        </is>
      </c>
      <c r="C1081" s="11" t="inlineStr">
        <is>
          <t>Mr. Md. Jahid Hussain</t>
        </is>
      </c>
      <c r="D1081" s="11" t="inlineStr">
        <is>
          <t>Dhaka GEN-A-21</t>
        </is>
      </c>
      <c r="E1081" s="11" t="inlineStr">
        <is>
          <t>Mr. Md. Khademul Basar</t>
        </is>
      </c>
      <c r="F1081" s="10" t="n">
        <v>14598</v>
      </c>
      <c r="G1081" s="11" t="inlineStr">
        <is>
          <t>IBH-Mirpur-12</t>
        </is>
      </c>
      <c r="H1081" s="10" t="n">
        <v>8409</v>
      </c>
      <c r="I1081" s="11" t="inlineStr">
        <is>
          <t>Md. Mostafizur Rahman Mithu</t>
        </is>
      </c>
      <c r="J1081" s="10">
        <f>IF(K1081&gt;0, "Completed", "Pending")</f>
        <v/>
      </c>
      <c r="K1081" s="10">
        <f>COUNTIF('Survey Responses'!F:F, F1081)</f>
        <v/>
      </c>
    </row>
    <row r="1082">
      <c r="A1082" s="10" t="n">
        <v>1081</v>
      </c>
      <c r="B1082" s="11" t="inlineStr">
        <is>
          <t>Dhaka-A (GEN-A)</t>
        </is>
      </c>
      <c r="C1082" s="11" t="inlineStr">
        <is>
          <t>Mr. Md. Jahid Hussain</t>
        </is>
      </c>
      <c r="D1082" s="11" t="inlineStr">
        <is>
          <t>Dhaka GEN-A-21</t>
        </is>
      </c>
      <c r="E1082" s="11" t="inlineStr">
        <is>
          <t>Mr. Md. Khademul Basar</t>
        </is>
      </c>
      <c r="F1082" s="10" t="n">
        <v>14134</v>
      </c>
      <c r="G1082" s="11" t="inlineStr">
        <is>
          <t>IBH-Rupnagar</t>
        </is>
      </c>
      <c r="H1082" s="10" t="n">
        <v>7456</v>
      </c>
      <c r="I1082" s="11" t="inlineStr">
        <is>
          <t>Mr. Md. Shamim Saikh</t>
        </is>
      </c>
      <c r="J1082" s="10">
        <f>IF(K1082&gt;0, "Completed", "Pending")</f>
        <v/>
      </c>
      <c r="K1082" s="10">
        <f>COUNTIF('Survey Responses'!F:F, F1082)</f>
        <v/>
      </c>
    </row>
    <row r="1083">
      <c r="A1083" s="10" t="n">
        <v>1082</v>
      </c>
      <c r="B1083" s="11" t="inlineStr">
        <is>
          <t>Dhaka-A (GEN-A)</t>
        </is>
      </c>
      <c r="C1083" s="11" t="inlineStr">
        <is>
          <t>Mr. Md. Jahid Hussain</t>
        </is>
      </c>
      <c r="D1083" s="11" t="inlineStr">
        <is>
          <t>Dhaka GEN-A-21</t>
        </is>
      </c>
      <c r="E1083" s="11" t="inlineStr">
        <is>
          <t>Mr. Md. Khademul Basar</t>
        </is>
      </c>
      <c r="F1083" s="10" t="n">
        <v>10807</v>
      </c>
      <c r="G1083" s="11" t="inlineStr">
        <is>
          <t>Popular-Mirpur-12</t>
        </is>
      </c>
      <c r="H1083" s="10" t="n">
        <v>648</v>
      </c>
      <c r="I1083" s="11" t="inlineStr">
        <is>
          <t>Sumon Chandra Kabiraj</t>
        </is>
      </c>
      <c r="J1083" s="10">
        <f>IF(K1083&gt;0, "Completed", "Pending")</f>
        <v/>
      </c>
      <c r="K1083" s="10">
        <f>COUNTIF('Survey Responses'!F:F, F1083)</f>
        <v/>
      </c>
    </row>
    <row r="1084">
      <c r="A1084" s="10" t="n">
        <v>1083</v>
      </c>
      <c r="B1084" s="11" t="inlineStr">
        <is>
          <t>Dhaka-A (GEN-A)</t>
        </is>
      </c>
      <c r="C1084" s="11" t="inlineStr">
        <is>
          <t>Mr. Md. Jahid Hussain</t>
        </is>
      </c>
      <c r="D1084" s="11" t="inlineStr">
        <is>
          <t>Dhaka GEN-A-21</t>
        </is>
      </c>
      <c r="E1084" s="11" t="inlineStr">
        <is>
          <t>Mr. Md. Khademul Basar</t>
        </is>
      </c>
      <c r="F1084" s="10" t="n">
        <v>10803</v>
      </c>
      <c r="G1084" s="11" t="inlineStr">
        <is>
          <t>Rupnagar-Medinet</t>
        </is>
      </c>
      <c r="H1084" s="10" t="n">
        <v>4997</v>
      </c>
      <c r="I1084" s="11" t="inlineStr">
        <is>
          <t>Mr. Md. Mahbubur Rahman</t>
        </is>
      </c>
      <c r="J1084" s="10">
        <f>IF(K1084&gt;0, "Completed", "Pending")</f>
        <v/>
      </c>
      <c r="K1084" s="10">
        <f>COUNTIF('Survey Responses'!F:F, F1084)</f>
        <v/>
      </c>
    </row>
    <row r="1085">
      <c r="A1085" s="10" t="n">
        <v>1084</v>
      </c>
      <c r="B1085" s="11" t="inlineStr">
        <is>
          <t>Dhaka-A (GEN-A)</t>
        </is>
      </c>
      <c r="C1085" s="11" t="inlineStr">
        <is>
          <t>Mr. Md. Jahid Hussain</t>
        </is>
      </c>
      <c r="D1085" s="11" t="inlineStr">
        <is>
          <t>Dhaka GEN-A-24</t>
        </is>
      </c>
      <c r="E1085" s="11" t="inlineStr">
        <is>
          <t>Md. Shahajada Shahinur Islam</t>
        </is>
      </c>
      <c r="F1085" s="10" t="n">
        <v>13051</v>
      </c>
      <c r="G1085" s="11" t="inlineStr">
        <is>
          <t>NIO-IMCH</t>
        </is>
      </c>
      <c r="H1085" s="10" t="n">
        <v>1345</v>
      </c>
      <c r="I1085" s="11" t="inlineStr">
        <is>
          <t>S.M Khairul Alom</t>
        </is>
      </c>
      <c r="J1085" s="10">
        <f>IF(K1085&gt;0, "Completed", "Pending")</f>
        <v/>
      </c>
      <c r="K1085" s="10">
        <f>COUNTIF('Survey Responses'!F:F, F1085)</f>
        <v/>
      </c>
    </row>
    <row r="1086">
      <c r="A1086" s="10" t="n">
        <v>1085</v>
      </c>
      <c r="B1086" s="11" t="inlineStr">
        <is>
          <t>Dhaka-A (GEN-A)</t>
        </is>
      </c>
      <c r="C1086" s="11" t="inlineStr">
        <is>
          <t>Mr. Md. Jahid Hussain</t>
        </is>
      </c>
      <c r="D1086" s="11" t="inlineStr">
        <is>
          <t>Dhaka GEN-A-24</t>
        </is>
      </c>
      <c r="E1086" s="11" t="inlineStr">
        <is>
          <t>Md. Shahajada Shahinur Islam</t>
        </is>
      </c>
      <c r="F1086" s="10" t="n">
        <v>10811</v>
      </c>
      <c r="G1086" s="11" t="inlineStr">
        <is>
          <t>NITOR</t>
        </is>
      </c>
      <c r="H1086" s="10" t="n">
        <v>0</v>
      </c>
      <c r="I1086" s="11" t="inlineStr">
        <is>
          <t>NITOR</t>
        </is>
      </c>
      <c r="J1086" s="10">
        <f>IF(K1086&gt;0, "Completed", "Pending")</f>
        <v/>
      </c>
      <c r="K1086" s="10">
        <f>COUNTIF('Survey Responses'!F:F, F1086)</f>
        <v/>
      </c>
    </row>
    <row r="1087">
      <c r="A1087" s="10" t="n">
        <v>1086</v>
      </c>
      <c r="B1087" s="11" t="inlineStr">
        <is>
          <t>Dhaka-A (GEN-A)</t>
        </is>
      </c>
      <c r="C1087" s="11" t="inlineStr">
        <is>
          <t>Mr. Md. Jahid Hussain</t>
        </is>
      </c>
      <c r="D1087" s="11" t="inlineStr">
        <is>
          <t>Dhaka GEN-A-24</t>
        </is>
      </c>
      <c r="E1087" s="11" t="inlineStr">
        <is>
          <t>Md. Shahajada Shahinur Islam</t>
        </is>
      </c>
      <c r="F1087" s="10" t="n">
        <v>14844</v>
      </c>
      <c r="G1087" s="11" t="inlineStr">
        <is>
          <t>NITOR-2</t>
        </is>
      </c>
      <c r="H1087" s="10" t="n">
        <v>8935</v>
      </c>
      <c r="I1087" s="11" t="inlineStr">
        <is>
          <t>Mr. Md. Shakayat Hossain</t>
        </is>
      </c>
      <c r="J1087" s="10">
        <f>IF(K1087&gt;0, "Completed", "Pending")</f>
        <v/>
      </c>
      <c r="K1087" s="10">
        <f>COUNTIF('Survey Responses'!F:F, F1087)</f>
        <v/>
      </c>
    </row>
    <row r="1088">
      <c r="A1088" s="10" t="n">
        <v>1087</v>
      </c>
      <c r="B1088" s="11" t="inlineStr">
        <is>
          <t>Dhaka-A (GEN-A)</t>
        </is>
      </c>
      <c r="C1088" s="11" t="inlineStr">
        <is>
          <t>Mr. Md. Jahid Hussain</t>
        </is>
      </c>
      <c r="D1088" s="11" t="inlineStr">
        <is>
          <t>Dhaka GEN-A-24</t>
        </is>
      </c>
      <c r="E1088" s="11" t="inlineStr">
        <is>
          <t>Md. Shahajada Shahinur Islam</t>
        </is>
      </c>
      <c r="F1088" s="10" t="n">
        <v>10785</v>
      </c>
      <c r="G1088" s="11" t="inlineStr">
        <is>
          <t>NITOR-IMCH</t>
        </is>
      </c>
      <c r="H1088" s="10" t="n">
        <v>7306</v>
      </c>
      <c r="I1088" s="11" t="inlineStr">
        <is>
          <t>Mr. Md. Abu Saiyed</t>
        </is>
      </c>
      <c r="J1088" s="10">
        <f>IF(K1088&gt;0, "Completed", "Pending")</f>
        <v/>
      </c>
      <c r="K1088" s="10">
        <f>COUNTIF('Survey Responses'!F:F, F1088)</f>
        <v/>
      </c>
    </row>
    <row r="1089">
      <c r="A1089" s="10" t="n">
        <v>1088</v>
      </c>
      <c r="B1089" s="11" t="inlineStr">
        <is>
          <t>Dhaka-A (GEN-A)</t>
        </is>
      </c>
      <c r="C1089" s="11" t="inlineStr">
        <is>
          <t>Mr. Md. Jahid Hussain</t>
        </is>
      </c>
      <c r="D1089" s="11" t="inlineStr">
        <is>
          <t>Dhaka GEN-A-24</t>
        </is>
      </c>
      <c r="E1089" s="11" t="inlineStr">
        <is>
          <t>Md. Shahajada Shahinur Islam</t>
        </is>
      </c>
      <c r="F1089" s="10" t="n">
        <v>14548</v>
      </c>
      <c r="G1089" s="11" t="inlineStr">
        <is>
          <t>NITOR-IMCH-2</t>
        </is>
      </c>
      <c r="H1089" s="10" t="n">
        <v>7630</v>
      </c>
      <c r="I1089" s="11" t="inlineStr">
        <is>
          <t>Mr. Md. Naim Hossain</t>
        </is>
      </c>
      <c r="J1089" s="10">
        <f>IF(K1089&gt;0, "Completed", "Pending")</f>
        <v/>
      </c>
      <c r="K1089" s="10">
        <f>COUNTIF('Survey Responses'!F:F, F1089)</f>
        <v/>
      </c>
    </row>
    <row r="1090">
      <c r="A1090" s="10" t="n">
        <v>1089</v>
      </c>
      <c r="B1090" s="11" t="inlineStr">
        <is>
          <t>Dhaka-A (GEN-A)</t>
        </is>
      </c>
      <c r="C1090" s="11" t="inlineStr">
        <is>
          <t>Mr. Md. Jahid Hussain</t>
        </is>
      </c>
      <c r="D1090" s="11" t="inlineStr">
        <is>
          <t>Dhaka GEN-A-24</t>
        </is>
      </c>
      <c r="E1090" s="11" t="inlineStr">
        <is>
          <t>Md. Shahajada Shahinur Islam</t>
        </is>
      </c>
      <c r="F1090" s="10" t="n">
        <v>12662</v>
      </c>
      <c r="G1090" s="11" t="inlineStr">
        <is>
          <t>NITOR-Shewrapara</t>
        </is>
      </c>
      <c r="H1090" s="10" t="n">
        <v>5019</v>
      </c>
      <c r="I1090" s="11" t="inlineStr">
        <is>
          <t>Mr. Md. Sohel Rana</t>
        </is>
      </c>
      <c r="J1090" s="10">
        <f>IF(K1090&gt;0, "Completed", "Pending")</f>
        <v/>
      </c>
      <c r="K1090" s="10">
        <f>COUNTIF('Survey Responses'!F:F, F1090)</f>
        <v/>
      </c>
    </row>
    <row r="1091">
      <c r="A1091" s="10" t="n">
        <v>1090</v>
      </c>
      <c r="B1091" s="11" t="inlineStr">
        <is>
          <t>Dhaka-A (GEN-A)</t>
        </is>
      </c>
      <c r="C1091" s="11" t="inlineStr">
        <is>
          <t>Mr. Md. Jahid Hussain</t>
        </is>
      </c>
      <c r="D1091" s="11" t="inlineStr">
        <is>
          <t>Dhaka GEN-A-24</t>
        </is>
      </c>
      <c r="E1091" s="11" t="inlineStr">
        <is>
          <t>Md. Shahajada Shahinur Islam</t>
        </is>
      </c>
      <c r="F1091" s="10" t="n">
        <v>10813</v>
      </c>
      <c r="G1091" s="11" t="inlineStr">
        <is>
          <t>NITOR-Taltola</t>
        </is>
      </c>
      <c r="H1091" s="10" t="n">
        <v>1341</v>
      </c>
      <c r="I1091" s="11" t="inlineStr">
        <is>
          <t>Md. Jahedul Islam</t>
        </is>
      </c>
      <c r="J1091" s="10">
        <f>IF(K1091&gt;0, "Completed", "Pending")</f>
        <v/>
      </c>
      <c r="K1091" s="10">
        <f>COUNTIF('Survey Responses'!F:F, F1091)</f>
        <v/>
      </c>
    </row>
    <row r="1092">
      <c r="A1092" s="10" t="n">
        <v>1091</v>
      </c>
      <c r="B1092" s="11" t="inlineStr">
        <is>
          <t>Dhaka-A (GEN-A)</t>
        </is>
      </c>
      <c r="C1092" s="11" t="inlineStr">
        <is>
          <t>Mr. Md. Jahid Hussain</t>
        </is>
      </c>
      <c r="D1092" s="11" t="inlineStr">
        <is>
          <t>Dhaka GEN-A-27</t>
        </is>
      </c>
      <c r="E1092" s="11" t="inlineStr">
        <is>
          <t>Md. Saifur Rahman</t>
        </is>
      </c>
      <c r="F1092" s="10" t="n">
        <v>10787</v>
      </c>
      <c r="G1092" s="11" t="inlineStr">
        <is>
          <t>BSH-IMCH</t>
        </is>
      </c>
      <c r="H1092" s="10" t="n">
        <v>8647</v>
      </c>
      <c r="I1092" s="11" t="inlineStr">
        <is>
          <t>Mr. Hossain Ahmed</t>
        </is>
      </c>
      <c r="J1092" s="10">
        <f>IF(K1092&gt;0, "Completed", "Pending")</f>
        <v/>
      </c>
      <c r="K1092" s="10">
        <f>COUNTIF('Survey Responses'!F:F, F1092)</f>
        <v/>
      </c>
    </row>
    <row r="1093">
      <c r="A1093" s="10" t="n">
        <v>1092</v>
      </c>
      <c r="B1093" s="11" t="inlineStr">
        <is>
          <t>Dhaka-A (GEN-A)</t>
        </is>
      </c>
      <c r="C1093" s="11" t="inlineStr">
        <is>
          <t>Mr. Md. Jahid Hussain</t>
        </is>
      </c>
      <c r="D1093" s="11" t="inlineStr">
        <is>
          <t>Dhaka GEN-A-27</t>
        </is>
      </c>
      <c r="E1093" s="11" t="inlineStr">
        <is>
          <t>Md. Saifur Rahman</t>
        </is>
      </c>
      <c r="F1093" s="10" t="n">
        <v>12331</v>
      </c>
      <c r="G1093" s="11" t="inlineStr">
        <is>
          <t>BSH-Kallyanpur</t>
        </is>
      </c>
      <c r="H1093" s="10" t="n">
        <v>4132</v>
      </c>
      <c r="I1093" s="11" t="inlineStr">
        <is>
          <t>Mr. Avigit Saha</t>
        </is>
      </c>
      <c r="J1093" s="10">
        <f>IF(K1093&gt;0, "Completed", "Pending")</f>
        <v/>
      </c>
      <c r="K1093" s="10">
        <f>COUNTIF('Survey Responses'!F:F, F1093)</f>
        <v/>
      </c>
    </row>
    <row r="1094">
      <c r="A1094" s="10" t="n">
        <v>1093</v>
      </c>
      <c r="B1094" s="11" t="inlineStr">
        <is>
          <t>Dhaka-A (GEN-A)</t>
        </is>
      </c>
      <c r="C1094" s="11" t="inlineStr">
        <is>
          <t>Mr. Md. Jahid Hussain</t>
        </is>
      </c>
      <c r="D1094" s="11" t="inlineStr">
        <is>
          <t>Dhaka GEN-A-27</t>
        </is>
      </c>
      <c r="E1094" s="11" t="inlineStr">
        <is>
          <t>Md. Saifur Rahman</t>
        </is>
      </c>
      <c r="F1094" s="10" t="n">
        <v>14642</v>
      </c>
      <c r="G1094" s="11" t="inlineStr">
        <is>
          <t>BSH-NITOR</t>
        </is>
      </c>
      <c r="H1094" s="10" t="n">
        <v>8727</v>
      </c>
      <c r="I1094" s="11" t="inlineStr">
        <is>
          <t>Mr. Md. Kawsar Ahmed</t>
        </is>
      </c>
      <c r="J1094" s="10">
        <f>IF(K1094&gt;0, "Completed", "Pending")</f>
        <v/>
      </c>
      <c r="K1094" s="10">
        <f>COUNTIF('Survey Responses'!F:F, F1094)</f>
        <v/>
      </c>
    </row>
    <row r="1095">
      <c r="A1095" s="10" t="n">
        <v>1094</v>
      </c>
      <c r="B1095" s="11" t="inlineStr">
        <is>
          <t>Dhaka-A (GEN-A)</t>
        </is>
      </c>
      <c r="C1095" s="11" t="inlineStr">
        <is>
          <t>Mr. Md. Jahid Hussain</t>
        </is>
      </c>
      <c r="D1095" s="11" t="inlineStr">
        <is>
          <t>Dhaka GEN-A-27</t>
        </is>
      </c>
      <c r="E1095" s="11" t="inlineStr">
        <is>
          <t>Md. Saifur Rahman</t>
        </is>
      </c>
      <c r="F1095" s="10" t="n">
        <v>14857</v>
      </c>
      <c r="G1095" s="11" t="inlineStr">
        <is>
          <t>DSH-BSH-2</t>
        </is>
      </c>
      <c r="H1095" s="10" t="n">
        <v>9085</v>
      </c>
      <c r="I1095" s="11" t="inlineStr">
        <is>
          <t>Mr. Md. Monzurul Islam Sajib</t>
        </is>
      </c>
      <c r="J1095" s="10">
        <f>IF(K1095&gt;0, "Completed", "Pending")</f>
        <v/>
      </c>
      <c r="K1095" s="10">
        <f>COUNTIF('Survey Responses'!F:F, F1095)</f>
        <v/>
      </c>
    </row>
    <row r="1096">
      <c r="A1096" s="10" t="n">
        <v>1095</v>
      </c>
      <c r="B1096" s="11" t="inlineStr">
        <is>
          <t>Dhaka-A (GEN-A)</t>
        </is>
      </c>
      <c r="C1096" s="11" t="inlineStr">
        <is>
          <t>Mr. Md. Jahid Hussain</t>
        </is>
      </c>
      <c r="D1096" s="11" t="inlineStr">
        <is>
          <t>Dhaka GEN-A-27</t>
        </is>
      </c>
      <c r="E1096" s="11" t="inlineStr">
        <is>
          <t>Md. Saifur Rahman</t>
        </is>
      </c>
      <c r="F1096" s="10" t="n">
        <v>13254</v>
      </c>
      <c r="G1096" s="11" t="inlineStr">
        <is>
          <t>NHF-NHN</t>
        </is>
      </c>
      <c r="H1096" s="10" t="n">
        <v>3397</v>
      </c>
      <c r="I1096" s="11" t="inlineStr">
        <is>
          <t>Mr. Md. Mahmudul Hasan Rasel</t>
        </is>
      </c>
      <c r="J1096" s="10">
        <f>IF(K1096&gt;0, "Completed", "Pending")</f>
        <v/>
      </c>
      <c r="K1096" s="10">
        <f>COUNTIF('Survey Responses'!F:F, F1096)</f>
        <v/>
      </c>
    </row>
    <row r="1097">
      <c r="A1097" s="10" t="n">
        <v>1096</v>
      </c>
      <c r="B1097" s="11" t="inlineStr">
        <is>
          <t>Dhaka-A (GEN-A)</t>
        </is>
      </c>
      <c r="C1097" s="11" t="inlineStr">
        <is>
          <t>Mr. Md. Jahid Hussain</t>
        </is>
      </c>
      <c r="D1097" s="11" t="inlineStr">
        <is>
          <t>Dhaka GEN-A-27</t>
        </is>
      </c>
      <c r="E1097" s="11" t="inlineStr">
        <is>
          <t>Md. Saifur Rahman</t>
        </is>
      </c>
      <c r="F1097" s="10" t="n">
        <v>14869</v>
      </c>
      <c r="G1097" s="11" t="inlineStr">
        <is>
          <t>NINS-2</t>
        </is>
      </c>
      <c r="H1097" s="10" t="n">
        <v>8990</v>
      </c>
      <c r="I1097" s="11" t="inlineStr">
        <is>
          <t>Mr. Md. Faruk Hossain</t>
        </is>
      </c>
      <c r="J1097" s="10">
        <f>IF(K1097&gt;0, "Completed", "Pending")</f>
        <v/>
      </c>
      <c r="K1097" s="10">
        <f>COUNTIF('Survey Responses'!F:F, F1097)</f>
        <v/>
      </c>
    </row>
    <row r="1098">
      <c r="A1098" s="10" t="n">
        <v>1097</v>
      </c>
      <c r="B1098" s="11" t="inlineStr">
        <is>
          <t>Dhaka-A (GEN-A)</t>
        </is>
      </c>
      <c r="C1098" s="11" t="inlineStr">
        <is>
          <t>Mr. Md. Jahid Hussain</t>
        </is>
      </c>
      <c r="D1098" s="11" t="inlineStr">
        <is>
          <t>Dhaka GEN-A-27</t>
        </is>
      </c>
      <c r="E1098" s="11" t="inlineStr">
        <is>
          <t>Md. Saifur Rahman</t>
        </is>
      </c>
      <c r="F1098" s="10" t="n">
        <v>14592</v>
      </c>
      <c r="G1098" s="11" t="inlineStr">
        <is>
          <t>NINS-Popular-2</t>
        </is>
      </c>
      <c r="H1098" s="10" t="n">
        <v>975</v>
      </c>
      <c r="I1098" s="11" t="inlineStr">
        <is>
          <t>Md. Sariful Islam</t>
        </is>
      </c>
      <c r="J1098" s="10">
        <f>IF(K1098&gt;0, "Completed", "Pending")</f>
        <v/>
      </c>
      <c r="K1098" s="10">
        <f>COUNTIF('Survey Responses'!F:F, F1098)</f>
        <v/>
      </c>
    </row>
    <row r="1099">
      <c r="A1099" s="10" t="n">
        <v>1098</v>
      </c>
      <c r="B1099" s="11" t="inlineStr">
        <is>
          <t>Dhaka-A (GEN-A)</t>
        </is>
      </c>
      <c r="C1099" s="11" t="inlineStr">
        <is>
          <t>Mr. Md. Jahid Hussain</t>
        </is>
      </c>
      <c r="D1099" s="11" t="inlineStr">
        <is>
          <t>Dhaka GEN-A-27</t>
        </is>
      </c>
      <c r="E1099" s="11" t="inlineStr">
        <is>
          <t>Md. Saifur Rahman</t>
        </is>
      </c>
      <c r="F1099" s="10" t="n">
        <v>10812</v>
      </c>
      <c r="G1099" s="11" t="inlineStr">
        <is>
          <t>NITOR-Kazi Para</t>
        </is>
      </c>
      <c r="H1099" s="10" t="n">
        <v>7405</v>
      </c>
      <c r="I1099" s="11" t="inlineStr">
        <is>
          <t>Mr. Md. Mahbubur Rahman</t>
        </is>
      </c>
      <c r="J1099" s="10">
        <f>IF(K1099&gt;0, "Completed", "Pending")</f>
        <v/>
      </c>
      <c r="K1099" s="10">
        <f>COUNTIF('Survey Responses'!F:F, F1099)</f>
        <v/>
      </c>
    </row>
    <row r="1100">
      <c r="A1100" s="10" t="n">
        <v>1099</v>
      </c>
      <c r="B1100" s="11" t="inlineStr">
        <is>
          <t>Dhaka-A (GEN-A)</t>
        </is>
      </c>
      <c r="C1100" s="11" t="inlineStr">
        <is>
          <t>Mr. Md. Jahid Hussain</t>
        </is>
      </c>
      <c r="D1100" s="11" t="inlineStr">
        <is>
          <t>Dhaka GEN-A-4</t>
        </is>
      </c>
      <c r="E1100" s="11" t="inlineStr">
        <is>
          <t>Mr. Md. Mazed Biswas</t>
        </is>
      </c>
      <c r="F1100" s="10" t="n">
        <v>10788</v>
      </c>
      <c r="G1100" s="11" t="inlineStr">
        <is>
          <t>BIHS-Delta</t>
        </is>
      </c>
      <c r="H1100" s="10" t="n">
        <v>8753</v>
      </c>
      <c r="I1100" s="11" t="inlineStr">
        <is>
          <t>Mr. Md. Naimur Rahman</t>
        </is>
      </c>
      <c r="J1100" s="10">
        <f>IF(K1100&gt;0, "Completed", "Pending")</f>
        <v/>
      </c>
      <c r="K1100" s="10">
        <f>COUNTIF('Survey Responses'!F:F, F1100)</f>
        <v/>
      </c>
    </row>
    <row r="1101">
      <c r="A1101" s="10" t="n">
        <v>1100</v>
      </c>
      <c r="B1101" s="11" t="inlineStr">
        <is>
          <t>Dhaka-A (GEN-A)</t>
        </is>
      </c>
      <c r="C1101" s="11" t="inlineStr">
        <is>
          <t>Mr. Md. Jahid Hussain</t>
        </is>
      </c>
      <c r="D1101" s="11" t="inlineStr">
        <is>
          <t>Dhaka GEN-A-4</t>
        </is>
      </c>
      <c r="E1101" s="11" t="inlineStr">
        <is>
          <t>Mr. Md. Mazed Biswas</t>
        </is>
      </c>
      <c r="F1101" s="10" t="n">
        <v>14121</v>
      </c>
      <c r="G1101" s="11" t="inlineStr">
        <is>
          <t>BIHS-Labaid</t>
        </is>
      </c>
      <c r="H1101" s="10" t="n">
        <v>9086</v>
      </c>
      <c r="I1101" s="11" t="inlineStr">
        <is>
          <t>Mr. Md. Hamidi Hasan</t>
        </is>
      </c>
      <c r="J1101" s="10">
        <f>IF(K1101&gt;0, "Completed", "Pending")</f>
        <v/>
      </c>
      <c r="K1101" s="10">
        <f>COUNTIF('Survey Responses'!F:F, F1101)</f>
        <v/>
      </c>
    </row>
    <row r="1102">
      <c r="A1102" s="10" t="n">
        <v>1101</v>
      </c>
      <c r="B1102" s="11" t="inlineStr">
        <is>
          <t>Dhaka-A (GEN-A)</t>
        </is>
      </c>
      <c r="C1102" s="11" t="inlineStr">
        <is>
          <t>Mr. Md. Jahid Hussain</t>
        </is>
      </c>
      <c r="D1102" s="11" t="inlineStr">
        <is>
          <t>Dhaka GEN-A-4</t>
        </is>
      </c>
      <c r="E1102" s="11" t="inlineStr">
        <is>
          <t>Mr. Md. Mazed Biswas</t>
        </is>
      </c>
      <c r="F1102" s="10" t="n">
        <v>10782</v>
      </c>
      <c r="G1102" s="11" t="inlineStr">
        <is>
          <t>BIHS-Mirpur</t>
        </is>
      </c>
      <c r="H1102" s="10" t="n">
        <v>2844</v>
      </c>
      <c r="I1102" s="11" t="inlineStr">
        <is>
          <t>Pappu Karmokar</t>
        </is>
      </c>
      <c r="J1102" s="10">
        <f>IF(K1102&gt;0, "Completed", "Pending")</f>
        <v/>
      </c>
      <c r="K1102" s="10">
        <f>COUNTIF('Survey Responses'!F:F, F1102)</f>
        <v/>
      </c>
    </row>
    <row r="1103">
      <c r="A1103" s="10" t="n">
        <v>1102</v>
      </c>
      <c r="B1103" s="11" t="inlineStr">
        <is>
          <t>Dhaka-A (GEN-A)</t>
        </is>
      </c>
      <c r="C1103" s="11" t="inlineStr">
        <is>
          <t>Mr. Md. Jahid Hussain</t>
        </is>
      </c>
      <c r="D1103" s="11" t="inlineStr">
        <is>
          <t>Dhaka GEN-A-4</t>
        </is>
      </c>
      <c r="E1103" s="11" t="inlineStr">
        <is>
          <t>Mr. Md. Mazed Biswas</t>
        </is>
      </c>
      <c r="F1103" s="10" t="n">
        <v>10786</v>
      </c>
      <c r="G1103" s="11" t="inlineStr">
        <is>
          <t>Delta-Labaid</t>
        </is>
      </c>
      <c r="H1103" s="10" t="n">
        <v>3519</v>
      </c>
      <c r="I1103" s="11" t="inlineStr">
        <is>
          <t>Mr. Md. Julfeker Ali</t>
        </is>
      </c>
      <c r="J1103" s="10">
        <f>IF(K1103&gt;0, "Completed", "Pending")</f>
        <v/>
      </c>
      <c r="K1103" s="10">
        <f>COUNTIF('Survey Responses'!F:F, F1103)</f>
        <v/>
      </c>
    </row>
    <row r="1104">
      <c r="A1104" s="10" t="n">
        <v>1103</v>
      </c>
      <c r="B1104" s="11" t="inlineStr">
        <is>
          <t>Dhaka-A (GEN-A)</t>
        </is>
      </c>
      <c r="C1104" s="11" t="inlineStr">
        <is>
          <t>Mr. Md. Jahid Hussain</t>
        </is>
      </c>
      <c r="D1104" s="11" t="inlineStr">
        <is>
          <t>Dhaka GEN-A-4</t>
        </is>
      </c>
      <c r="E1104" s="11" t="inlineStr">
        <is>
          <t>Mr. Md. Mazed Biswas</t>
        </is>
      </c>
      <c r="F1104" s="10" t="n">
        <v>10783</v>
      </c>
      <c r="G1104" s="11" t="inlineStr">
        <is>
          <t>Delta-Mazar Road</t>
        </is>
      </c>
      <c r="H1104" s="10" t="n">
        <v>3945</v>
      </c>
      <c r="I1104" s="11" t="inlineStr">
        <is>
          <t>Mr. Md. Rafiqe Mondol</t>
        </is>
      </c>
      <c r="J1104" s="10">
        <f>IF(K1104&gt;0, "Completed", "Pending")</f>
        <v/>
      </c>
      <c r="K1104" s="10">
        <f>COUNTIF('Survey Responses'!F:F, F1104)</f>
        <v/>
      </c>
    </row>
    <row r="1105">
      <c r="A1105" s="10" t="n">
        <v>1104</v>
      </c>
      <c r="B1105" s="11" t="inlineStr">
        <is>
          <t>Dhaka-A (GEN-A)</t>
        </is>
      </c>
      <c r="C1105" s="11" t="inlineStr">
        <is>
          <t>Mr. Md. Jahid Hussain</t>
        </is>
      </c>
      <c r="D1105" s="11" t="inlineStr">
        <is>
          <t>Dhaka GEN-A-4</t>
        </is>
      </c>
      <c r="E1105" s="11" t="inlineStr">
        <is>
          <t>Mr. Md. Mazed Biswas</t>
        </is>
      </c>
      <c r="F1105" s="10" t="n">
        <v>10784</v>
      </c>
      <c r="G1105" s="11" t="inlineStr">
        <is>
          <t>Delta-Mirpur</t>
        </is>
      </c>
      <c r="H1105" s="10" t="n">
        <v>7120</v>
      </c>
      <c r="I1105" s="11" t="inlineStr">
        <is>
          <t>Mr. Sourov Kumar Roy</t>
        </is>
      </c>
      <c r="J1105" s="10">
        <f>IF(K1105&gt;0, "Completed", "Pending")</f>
        <v/>
      </c>
      <c r="K1105" s="10">
        <f>COUNTIF('Survey Responses'!F:F, F1105)</f>
        <v/>
      </c>
    </row>
    <row r="1106">
      <c r="A1106" s="10" t="n">
        <v>1105</v>
      </c>
      <c r="B1106" s="11" t="inlineStr">
        <is>
          <t>Dhaka-A (GEN-A)</t>
        </is>
      </c>
      <c r="C1106" s="11" t="inlineStr">
        <is>
          <t>Mr. Md. Jahid Hussain</t>
        </is>
      </c>
      <c r="D1106" s="11" t="inlineStr">
        <is>
          <t>Dhaka GEN-A-4</t>
        </is>
      </c>
      <c r="E1106" s="11" t="inlineStr">
        <is>
          <t>Mr. Md. Mazed Biswas</t>
        </is>
      </c>
      <c r="F1106" s="10" t="n">
        <v>12271</v>
      </c>
      <c r="G1106" s="11" t="inlineStr">
        <is>
          <t>IBN-Sina-Zoo Road</t>
        </is>
      </c>
      <c r="H1106" s="10" t="n">
        <v>3703</v>
      </c>
      <c r="I1106" s="11" t="inlineStr">
        <is>
          <t>Mr. Asif Rayhan</t>
        </is>
      </c>
      <c r="J1106" s="10">
        <f>IF(K1106&gt;0, "Completed", "Pending")</f>
        <v/>
      </c>
      <c r="K1106" s="10">
        <f>COUNTIF('Survey Responses'!F:F, F1106)</f>
        <v/>
      </c>
    </row>
    <row r="1107">
      <c r="A1107" s="10" t="n">
        <v>1106</v>
      </c>
      <c r="B1107" s="11" t="inlineStr">
        <is>
          <t>Dhaka-A (GEN-A)</t>
        </is>
      </c>
      <c r="C1107" s="11" t="inlineStr">
        <is>
          <t>Mr. Md. Jahid Hussain</t>
        </is>
      </c>
      <c r="D1107" s="11" t="inlineStr">
        <is>
          <t>Dhaka GEN-A-4</t>
        </is>
      </c>
      <c r="E1107" s="11" t="inlineStr">
        <is>
          <t>Mr. Md. Mazed Biswas</t>
        </is>
      </c>
      <c r="F1107" s="10" t="n">
        <v>14868</v>
      </c>
      <c r="G1107" s="11" t="inlineStr">
        <is>
          <t>Maa O Shishu-Mirpur-1</t>
        </is>
      </c>
      <c r="H1107" s="10" t="n">
        <v>8989</v>
      </c>
      <c r="I1107" s="11" t="inlineStr">
        <is>
          <t>Mr. Ripon Hossain</t>
        </is>
      </c>
      <c r="J1107" s="10">
        <f>IF(K1107&gt;0, "Completed", "Pending")</f>
        <v/>
      </c>
      <c r="K1107" s="10">
        <f>COUNTIF('Survey Responses'!F:F, F1107)</f>
        <v/>
      </c>
    </row>
    <row r="1108">
      <c r="A1108" s="10" t="n">
        <v>1107</v>
      </c>
      <c r="B1108" s="11" t="inlineStr">
        <is>
          <t>Dhaka-A (GEN-A)</t>
        </is>
      </c>
      <c r="C1108" s="11" t="inlineStr">
        <is>
          <t>Mr. Md. Jahid Hussain</t>
        </is>
      </c>
      <c r="D1108" s="11" t="inlineStr">
        <is>
          <t>Dhaka GEN-A-7</t>
        </is>
      </c>
      <c r="E1108" s="11" t="inlineStr">
        <is>
          <t>Apurba Biswas</t>
        </is>
      </c>
      <c r="F1108" s="10" t="n">
        <v>13638</v>
      </c>
      <c r="G1108" s="11" t="inlineStr">
        <is>
          <t>CRP-Dental College</t>
        </is>
      </c>
      <c r="H1108" s="10" t="n">
        <v>7267</v>
      </c>
      <c r="I1108" s="11" t="inlineStr">
        <is>
          <t>Mr. Md. Taibur Rahman</t>
        </is>
      </c>
      <c r="J1108" s="10">
        <f>IF(K1108&gt;0, "Completed", "Pending")</f>
        <v/>
      </c>
      <c r="K1108" s="10">
        <f>COUNTIF('Survey Responses'!F:F, F1108)</f>
        <v/>
      </c>
    </row>
    <row r="1109">
      <c r="A1109" s="10" t="n">
        <v>1108</v>
      </c>
      <c r="B1109" s="11" t="inlineStr">
        <is>
          <t>Dhaka-A (GEN-A)</t>
        </is>
      </c>
      <c r="C1109" s="11" t="inlineStr">
        <is>
          <t>Mr. Md. Jahid Hussain</t>
        </is>
      </c>
      <c r="D1109" s="11" t="inlineStr">
        <is>
          <t>Dhaka GEN-A-7</t>
        </is>
      </c>
      <c r="E1109" s="11" t="inlineStr">
        <is>
          <t>Apurba Biswas</t>
        </is>
      </c>
      <c r="F1109" s="10" t="n">
        <v>10789</v>
      </c>
      <c r="G1109" s="11" t="inlineStr">
        <is>
          <t>CRP-Kochukhet</t>
        </is>
      </c>
      <c r="H1109" s="10" t="n">
        <v>7374</v>
      </c>
      <c r="I1109" s="11" t="inlineStr">
        <is>
          <t>Mr. Md. Alamin Haque</t>
        </is>
      </c>
      <c r="J1109" s="10">
        <f>IF(K1109&gt;0, "Completed", "Pending")</f>
        <v/>
      </c>
      <c r="K1109" s="10">
        <f>COUNTIF('Survey Responses'!F:F, F1109)</f>
        <v/>
      </c>
    </row>
    <row r="1110">
      <c r="A1110" s="10" t="n">
        <v>1109</v>
      </c>
      <c r="B1110" s="11" t="inlineStr">
        <is>
          <t>Dhaka-A (GEN-A)</t>
        </is>
      </c>
      <c r="C1110" s="11" t="inlineStr">
        <is>
          <t>Mr. Md. Jahid Hussain</t>
        </is>
      </c>
      <c r="D1110" s="11" t="inlineStr">
        <is>
          <t>Dhaka GEN-A-7</t>
        </is>
      </c>
      <c r="E1110" s="11" t="inlineStr">
        <is>
          <t>Apurba Biswas</t>
        </is>
      </c>
      <c r="F1110" s="10" t="n">
        <v>10792</v>
      </c>
      <c r="G1110" s="11" t="inlineStr">
        <is>
          <t>Hitech-Ibrahimpur</t>
        </is>
      </c>
      <c r="H1110" s="10" t="n">
        <v>2473</v>
      </c>
      <c r="I1110" s="11" t="inlineStr">
        <is>
          <t>Md. Masud Rana</t>
        </is>
      </c>
      <c r="J1110" s="10">
        <f>IF(K1110&gt;0, "Completed", "Pending")</f>
        <v/>
      </c>
      <c r="K1110" s="10">
        <f>COUNTIF('Survey Responses'!F:F, F1110)</f>
        <v/>
      </c>
    </row>
    <row r="1111">
      <c r="A1111" s="10" t="n">
        <v>1110</v>
      </c>
      <c r="B1111" s="11" t="inlineStr">
        <is>
          <t>Dhaka-A (GEN-A)</t>
        </is>
      </c>
      <c r="C1111" s="11" t="inlineStr">
        <is>
          <t>Mr. Md. Jahid Hussain</t>
        </is>
      </c>
      <c r="D1111" s="11" t="inlineStr">
        <is>
          <t>Dhaka GEN-A-7</t>
        </is>
      </c>
      <c r="E1111" s="11" t="inlineStr">
        <is>
          <t>Apurba Biswas</t>
        </is>
      </c>
      <c r="F1111" s="10" t="n">
        <v>14870</v>
      </c>
      <c r="G1111" s="11" t="inlineStr">
        <is>
          <t>Hitech-kochukhet</t>
        </is>
      </c>
      <c r="H1111" s="10" t="n">
        <v>0</v>
      </c>
      <c r="I1111" s="11" t="inlineStr">
        <is>
          <t>Hitech-kochukhet</t>
        </is>
      </c>
      <c r="J1111" s="10">
        <f>IF(K1111&gt;0, "Completed", "Pending")</f>
        <v/>
      </c>
      <c r="K1111" s="10">
        <f>COUNTIF('Survey Responses'!F:F, F1111)</f>
        <v/>
      </c>
    </row>
    <row r="1112">
      <c r="A1112" s="10" t="n">
        <v>1111</v>
      </c>
      <c r="B1112" s="11" t="inlineStr">
        <is>
          <t>Dhaka-A (GEN-A)</t>
        </is>
      </c>
      <c r="C1112" s="11" t="inlineStr">
        <is>
          <t>Mr. Md. Jahid Hussain</t>
        </is>
      </c>
      <c r="D1112" s="11" t="inlineStr">
        <is>
          <t>Dhaka GEN-A-7</t>
        </is>
      </c>
      <c r="E1112" s="11" t="inlineStr">
        <is>
          <t>Apurba Biswas</t>
        </is>
      </c>
      <c r="F1112" s="10" t="n">
        <v>10793</v>
      </c>
      <c r="G1112" s="11" t="inlineStr">
        <is>
          <t>Matikata-Manikdee</t>
        </is>
      </c>
      <c r="H1112" s="10" t="n">
        <v>3087</v>
      </c>
      <c r="I1112" s="11" t="inlineStr">
        <is>
          <t>Md. Gausul Azam</t>
        </is>
      </c>
      <c r="J1112" s="10">
        <f>IF(K1112&gt;0, "Completed", "Pending")</f>
        <v/>
      </c>
      <c r="K1112" s="10">
        <f>COUNTIF('Survey Responses'!F:F, F1112)</f>
        <v/>
      </c>
    </row>
    <row r="1113">
      <c r="A1113" s="10" t="n">
        <v>1112</v>
      </c>
      <c r="B1113" s="11" t="inlineStr">
        <is>
          <t>Dhaka-A (GEN-A)</t>
        </is>
      </c>
      <c r="C1113" s="11" t="inlineStr">
        <is>
          <t>Mr. Md. Jahid Hussain</t>
        </is>
      </c>
      <c r="D1113" s="11" t="inlineStr">
        <is>
          <t>Dhaka GEN-A-7</t>
        </is>
      </c>
      <c r="E1113" s="11" t="inlineStr">
        <is>
          <t>Apurba Biswas</t>
        </is>
      </c>
      <c r="F1113" s="10" t="n">
        <v>10791</v>
      </c>
      <c r="G1113" s="11" t="inlineStr">
        <is>
          <t>NINS-DG Lab</t>
        </is>
      </c>
      <c r="H1113" s="10" t="n">
        <v>6552</v>
      </c>
      <c r="I1113" s="11" t="inlineStr">
        <is>
          <t>Mr. Md. Asikur Rahman</t>
        </is>
      </c>
      <c r="J1113" s="10">
        <f>IF(K1113&gt;0, "Completed", "Pending")</f>
        <v/>
      </c>
      <c r="K1113" s="10">
        <f>COUNTIF('Survey Responses'!F:F, F1113)</f>
        <v/>
      </c>
    </row>
    <row r="1114">
      <c r="A1114" s="10" t="n">
        <v>1113</v>
      </c>
      <c r="B1114" s="11" t="inlineStr">
        <is>
          <t>Dhaka-A (GEN-A)</t>
        </is>
      </c>
      <c r="C1114" s="11" t="inlineStr">
        <is>
          <t>Mr. Md. Jahid Hussain</t>
        </is>
      </c>
      <c r="D1114" s="11" t="inlineStr">
        <is>
          <t>Dhaka GEN-A-7</t>
        </is>
      </c>
      <c r="E1114" s="11" t="inlineStr">
        <is>
          <t>Apurba Biswas</t>
        </is>
      </c>
      <c r="F1114" s="10" t="n">
        <v>10790</v>
      </c>
      <c r="G1114" s="11" t="inlineStr">
        <is>
          <t>NINS-Kachukhet</t>
        </is>
      </c>
      <c r="H1114" s="10" t="n">
        <v>6933</v>
      </c>
      <c r="I1114" s="11" t="inlineStr">
        <is>
          <t>Mr. Md. Zim Mia</t>
        </is>
      </c>
      <c r="J1114" s="10">
        <f>IF(K1114&gt;0, "Completed", "Pending")</f>
        <v/>
      </c>
      <c r="K1114" s="10">
        <f>COUNTIF('Survey Responses'!F:F, F1114)</f>
        <v/>
      </c>
    </row>
    <row r="1115">
      <c r="A1115" s="10" t="n">
        <v>1114</v>
      </c>
      <c r="B1115" s="11" t="inlineStr">
        <is>
          <t>Dhaka-A (GEN-A)</t>
        </is>
      </c>
      <c r="C1115" s="11" t="inlineStr">
        <is>
          <t>Mr. Md. Jahid Hussain</t>
        </is>
      </c>
      <c r="D1115" s="11" t="inlineStr">
        <is>
          <t>Dhaka GEN-A-7</t>
        </is>
      </c>
      <c r="E1115" s="11" t="inlineStr">
        <is>
          <t>Apurba Biswas</t>
        </is>
      </c>
      <c r="F1115" s="10" t="n">
        <v>12663</v>
      </c>
      <c r="G1115" s="11" t="inlineStr">
        <is>
          <t>NINS-Popular-1</t>
        </is>
      </c>
      <c r="H1115" s="10" t="n">
        <v>4134</v>
      </c>
      <c r="I1115" s="11" t="inlineStr">
        <is>
          <t>Mr. Md. Mijanur Rahman</t>
        </is>
      </c>
      <c r="J1115" s="10">
        <f>IF(K1115&gt;0, "Completed", "Pending")</f>
        <v/>
      </c>
      <c r="K1115" s="10">
        <f>COUNTIF('Survey Responses'!F:F, F1115)</f>
        <v/>
      </c>
    </row>
    <row r="1116">
      <c r="A1116" s="10" t="n">
        <v>1115</v>
      </c>
      <c r="B1116" s="11" t="inlineStr">
        <is>
          <t>Dhaka-A (GEN-A)</t>
        </is>
      </c>
      <c r="C1116" s="11" t="inlineStr">
        <is>
          <t>Mr. Md. Jahid Hussain</t>
        </is>
      </c>
      <c r="D1116" s="11" t="inlineStr">
        <is>
          <t>Dhaka GEN-A-9</t>
        </is>
      </c>
      <c r="E1116" s="11" t="inlineStr">
        <is>
          <t>Mr. Md. Mottaleb</t>
        </is>
      </c>
      <c r="F1116" s="10" t="n">
        <v>10798</v>
      </c>
      <c r="G1116" s="11" t="inlineStr">
        <is>
          <t>Banani</t>
        </is>
      </c>
      <c r="H1116" s="10" t="n">
        <v>6819</v>
      </c>
      <c r="I1116" s="11" t="inlineStr">
        <is>
          <t>Mr. Md. Mithon Ali</t>
        </is>
      </c>
      <c r="J1116" s="10">
        <f>IF(K1116&gt;0, "Completed", "Pending")</f>
        <v/>
      </c>
      <c r="K1116" s="10">
        <f>COUNTIF('Survey Responses'!F:F, F1116)</f>
        <v/>
      </c>
    </row>
    <row r="1117">
      <c r="A1117" s="10" t="n">
        <v>1116</v>
      </c>
      <c r="B1117" s="11" t="inlineStr">
        <is>
          <t>Dhaka-A (GEN-A)</t>
        </is>
      </c>
      <c r="C1117" s="11" t="inlineStr">
        <is>
          <t>Mr. Md. Jahid Hussain</t>
        </is>
      </c>
      <c r="D1117" s="11" t="inlineStr">
        <is>
          <t>Dhaka GEN-A-9</t>
        </is>
      </c>
      <c r="E1117" s="11" t="inlineStr">
        <is>
          <t>Mr. Md. Mottaleb</t>
        </is>
      </c>
      <c r="F1117" s="10" t="n">
        <v>10800</v>
      </c>
      <c r="G1117" s="11" t="inlineStr">
        <is>
          <t>Metropolitan-UMCH</t>
        </is>
      </c>
      <c r="H1117" s="10" t="n">
        <v>6904</v>
      </c>
      <c r="I1117" s="11" t="inlineStr">
        <is>
          <t>Mr. Mahfuzer Rahman</t>
        </is>
      </c>
      <c r="J1117" s="10">
        <f>IF(K1117&gt;0, "Completed", "Pending")</f>
        <v/>
      </c>
      <c r="K1117" s="10">
        <f>COUNTIF('Survey Responses'!F:F, F1117)</f>
        <v/>
      </c>
    </row>
    <row r="1118">
      <c r="A1118" s="10" t="n">
        <v>1117</v>
      </c>
      <c r="B1118" s="11" t="inlineStr">
        <is>
          <t>Dhaka-A (GEN-A)</t>
        </is>
      </c>
      <c r="C1118" s="11" t="inlineStr">
        <is>
          <t>Mr. Md. Jahid Hussain</t>
        </is>
      </c>
      <c r="D1118" s="11" t="inlineStr">
        <is>
          <t>Dhaka GEN-A-9</t>
        </is>
      </c>
      <c r="E1118" s="11" t="inlineStr">
        <is>
          <t>Mr. Md. Mottaleb</t>
        </is>
      </c>
      <c r="F1118" s="10" t="n">
        <v>10796</v>
      </c>
      <c r="G1118" s="11" t="inlineStr">
        <is>
          <t>Mohakhali</t>
        </is>
      </c>
      <c r="H1118" s="10" t="n">
        <v>810</v>
      </c>
      <c r="I1118" s="11" t="inlineStr">
        <is>
          <t>Md. Monjur Rahi</t>
        </is>
      </c>
      <c r="J1118" s="10">
        <f>IF(K1118&gt;0, "Completed", "Pending")</f>
        <v/>
      </c>
      <c r="K1118" s="10">
        <f>COUNTIF('Survey Responses'!F:F, F1118)</f>
        <v/>
      </c>
    </row>
    <row r="1119">
      <c r="A1119" s="10" t="n">
        <v>1118</v>
      </c>
      <c r="B1119" s="11" t="inlineStr">
        <is>
          <t>Dhaka-A (GEN-A)</t>
        </is>
      </c>
      <c r="C1119" s="11" t="inlineStr">
        <is>
          <t>Mr. Md. Jahid Hussain</t>
        </is>
      </c>
      <c r="D1119" s="11" t="inlineStr">
        <is>
          <t>Dhaka GEN-A-9</t>
        </is>
      </c>
      <c r="E1119" s="11" t="inlineStr">
        <is>
          <t>Mr. Md. Mottaleb</t>
        </is>
      </c>
      <c r="F1119" s="10" t="n">
        <v>10802</v>
      </c>
      <c r="G1119" s="11" t="inlineStr">
        <is>
          <t>UMCH-Niketon</t>
        </is>
      </c>
      <c r="H1119" s="10" t="n">
        <v>2742</v>
      </c>
      <c r="I1119" s="11" t="inlineStr">
        <is>
          <t>Md. Manequzzaman</t>
        </is>
      </c>
      <c r="J1119" s="10">
        <f>IF(K1119&gt;0, "Completed", "Pending")</f>
        <v/>
      </c>
      <c r="K1119" s="10">
        <f>COUNTIF('Survey Responses'!F:F, F1119)</f>
        <v/>
      </c>
    </row>
    <row r="1120">
      <c r="A1120" s="10" t="n">
        <v>1119</v>
      </c>
      <c r="B1120" s="11" t="inlineStr">
        <is>
          <t>Dhaka-A (GEN-A)</t>
        </is>
      </c>
      <c r="C1120" s="11" t="inlineStr">
        <is>
          <t>Mr. Md. Jahid Hussain</t>
        </is>
      </c>
      <c r="D1120" s="11" t="inlineStr">
        <is>
          <t>Dhaka GEN-A-9</t>
        </is>
      </c>
      <c r="E1120" s="11" t="inlineStr">
        <is>
          <t>Mr. Md. Mottaleb</t>
        </is>
      </c>
      <c r="F1120" s="10" t="n">
        <v>10799</v>
      </c>
      <c r="G1120" s="11" t="inlineStr">
        <is>
          <t>United Hosp-Lab Aid-1</t>
        </is>
      </c>
      <c r="H1120" s="10" t="n">
        <v>5606</v>
      </c>
      <c r="I1120" s="11" t="inlineStr">
        <is>
          <t>Mr. Md. Imran Ali</t>
        </is>
      </c>
      <c r="J1120" s="10">
        <f>IF(K1120&gt;0, "Completed", "Pending")</f>
        <v/>
      </c>
      <c r="K1120" s="10">
        <f>COUNTIF('Survey Responses'!F:F, F1120)</f>
        <v/>
      </c>
    </row>
    <row r="1121">
      <c r="A1121" s="10" t="n">
        <v>1120</v>
      </c>
      <c r="B1121" s="11" t="inlineStr">
        <is>
          <t>Dhaka-A (GEN-A)</t>
        </is>
      </c>
      <c r="C1121" s="11" t="inlineStr">
        <is>
          <t>Mr. Md. Jahid Hussain</t>
        </is>
      </c>
      <c r="D1121" s="11" t="inlineStr">
        <is>
          <t>Dhaka GEN-A-9</t>
        </is>
      </c>
      <c r="E1121" s="11" t="inlineStr">
        <is>
          <t>Mr. Md. Mottaleb</t>
        </is>
      </c>
      <c r="F1121" s="10" t="n">
        <v>10801</v>
      </c>
      <c r="G1121" s="11" t="inlineStr">
        <is>
          <t>United Hosp-Lab Aid-2</t>
        </is>
      </c>
      <c r="H1121" s="10" t="n">
        <v>793</v>
      </c>
      <c r="I1121" s="11" t="inlineStr">
        <is>
          <t>Md. Serajum Manir</t>
        </is>
      </c>
      <c r="J1121" s="10">
        <f>IF(K1121&gt;0, "Completed", "Pending")</f>
        <v/>
      </c>
      <c r="K1121" s="10">
        <f>COUNTIF('Survey Responses'!F:F, F1121)</f>
        <v/>
      </c>
    </row>
    <row r="1122">
      <c r="A1122" s="10" t="n">
        <v>1121</v>
      </c>
      <c r="B1122" s="11" t="inlineStr">
        <is>
          <t>Dhaka-A (GEN-A)</t>
        </is>
      </c>
      <c r="C1122" s="11" t="inlineStr">
        <is>
          <t>Mr. Md. Jahid Hussain</t>
        </is>
      </c>
      <c r="D1122" s="11" t="inlineStr">
        <is>
          <t>Dhaka GEN-A-9</t>
        </is>
      </c>
      <c r="E1122" s="11" t="inlineStr">
        <is>
          <t>Mr. Md. Mottaleb</t>
        </is>
      </c>
      <c r="F1122" s="10" t="n">
        <v>13293</v>
      </c>
      <c r="G1122" s="11" t="inlineStr">
        <is>
          <t>United Hosp-Lab Aid-3</t>
        </is>
      </c>
      <c r="H1122" s="10" t="n">
        <v>7269</v>
      </c>
      <c r="I1122" s="11" t="inlineStr">
        <is>
          <t>Mr. Md. Muajjam Hossain</t>
        </is>
      </c>
      <c r="J1122" s="10">
        <f>IF(K1122&gt;0, "Completed", "Pending")</f>
        <v/>
      </c>
      <c r="K1122" s="10">
        <f>COUNTIF('Survey Responses'!F:F, F1122)</f>
        <v/>
      </c>
    </row>
    <row r="1123">
      <c r="A1123" s="10" t="n">
        <v>1122</v>
      </c>
      <c r="B1123" s="11" t="inlineStr">
        <is>
          <t>Dhaka-A (GEN-A)</t>
        </is>
      </c>
      <c r="C1123" s="11" t="inlineStr">
        <is>
          <t>Mr. Md. Jahid Hussain</t>
        </is>
      </c>
      <c r="D1123" s="11" t="inlineStr">
        <is>
          <t>Dhaka GEN-A-9</t>
        </is>
      </c>
      <c r="E1123" s="11" t="inlineStr">
        <is>
          <t>Mr. Md. Mottaleb</t>
        </is>
      </c>
      <c r="F1123" s="10" t="n">
        <v>12903</v>
      </c>
      <c r="G1123" s="11" t="inlineStr">
        <is>
          <t>United Hospital Banani</t>
        </is>
      </c>
      <c r="H1123" s="10" t="n">
        <v>5061</v>
      </c>
      <c r="I1123" s="11" t="inlineStr">
        <is>
          <t>Mr. Shakibul Islam</t>
        </is>
      </c>
      <c r="J1123" s="10">
        <f>IF(K1123&gt;0, "Completed", "Pending")</f>
        <v/>
      </c>
      <c r="K1123" s="10">
        <f>COUNTIF('Survey Responses'!F:F, F1123)</f>
        <v/>
      </c>
    </row>
    <row r="1124">
      <c r="A1124" s="10" t="n">
        <v>1123</v>
      </c>
      <c r="B1124" s="11" t="inlineStr">
        <is>
          <t>Dhaka-D (GEN-A)</t>
        </is>
      </c>
      <c r="C1124" s="11" t="inlineStr">
        <is>
          <t>Mr. Abu Sufian Alam</t>
        </is>
      </c>
      <c r="D1124" s="11" t="inlineStr">
        <is>
          <t>Dhaka GEN-A-1</t>
        </is>
      </c>
      <c r="E1124" s="11" t="inlineStr">
        <is>
          <t>Mr. Md. Masud Rana</t>
        </is>
      </c>
      <c r="F1124" s="10" t="n">
        <v>14846</v>
      </c>
      <c r="G1124" s="11" t="inlineStr">
        <is>
          <t>BMCH-JMI Hospital</t>
        </is>
      </c>
      <c r="H1124" s="10" t="n">
        <v>8937</v>
      </c>
      <c r="I1124" s="11" t="inlineStr">
        <is>
          <t>Mohammad Riad</t>
        </is>
      </c>
      <c r="J1124" s="10">
        <f>IF(K1124&gt;0, "Completed", "Pending")</f>
        <v/>
      </c>
      <c r="K1124" s="10">
        <f>COUNTIF('Survey Responses'!F:F, F1124)</f>
        <v/>
      </c>
    </row>
    <row r="1125">
      <c r="A1125" s="10" t="n">
        <v>1124</v>
      </c>
      <c r="B1125" s="11" t="inlineStr">
        <is>
          <t>Dhaka-D (GEN-A)</t>
        </is>
      </c>
      <c r="C1125" s="11" t="inlineStr">
        <is>
          <t>Mr. Abu Sufian Alam</t>
        </is>
      </c>
      <c r="D1125" s="11" t="inlineStr">
        <is>
          <t>Dhaka GEN-A-1</t>
        </is>
      </c>
      <c r="E1125" s="11" t="inlineStr">
        <is>
          <t>Mr. Md. Masud Rana</t>
        </is>
      </c>
      <c r="F1125" s="10" t="n">
        <v>12897</v>
      </c>
      <c r="G1125" s="11" t="inlineStr">
        <is>
          <t>BMCH-Jouchor</t>
        </is>
      </c>
      <c r="H1125" s="10" t="n">
        <v>5058</v>
      </c>
      <c r="I1125" s="11" t="inlineStr">
        <is>
          <t>Mr. Md. Ikbal Sheikh</t>
        </is>
      </c>
      <c r="J1125" s="10">
        <f>IF(K1125&gt;0, "Completed", "Pending")</f>
        <v/>
      </c>
      <c r="K1125" s="10">
        <f>COUNTIF('Survey Responses'!F:F, F1125)</f>
        <v/>
      </c>
    </row>
    <row r="1126">
      <c r="A1126" s="10" t="n">
        <v>1125</v>
      </c>
      <c r="B1126" s="11" t="inlineStr">
        <is>
          <t>Dhaka-D (GEN-A)</t>
        </is>
      </c>
      <c r="C1126" s="11" t="inlineStr">
        <is>
          <t>Mr. Abu Sufian Alam</t>
        </is>
      </c>
      <c r="D1126" s="11" t="inlineStr">
        <is>
          <t>Dhaka GEN-A-1</t>
        </is>
      </c>
      <c r="E1126" s="11" t="inlineStr">
        <is>
          <t>Mr. Md. Masud Rana</t>
        </is>
      </c>
      <c r="F1126" s="10" t="n">
        <v>10491</v>
      </c>
      <c r="G1126" s="11" t="inlineStr">
        <is>
          <t>BMCH-Satmasjid Road</t>
        </is>
      </c>
      <c r="H1126" s="10" t="n">
        <v>7304</v>
      </c>
      <c r="I1126" s="11" t="inlineStr">
        <is>
          <t>Mr. Harun Ar Rashid</t>
        </is>
      </c>
      <c r="J1126" s="10">
        <f>IF(K1126&gt;0, "Completed", "Pending")</f>
        <v/>
      </c>
      <c r="K1126" s="10">
        <f>COUNTIF('Survey Responses'!F:F, F1126)</f>
        <v/>
      </c>
    </row>
    <row r="1127">
      <c r="A1127" s="10" t="n">
        <v>1126</v>
      </c>
      <c r="B1127" s="11" t="inlineStr">
        <is>
          <t>Dhaka-D (GEN-A)</t>
        </is>
      </c>
      <c r="C1127" s="11" t="inlineStr">
        <is>
          <t>Mr. Abu Sufian Alam</t>
        </is>
      </c>
      <c r="D1127" s="11" t="inlineStr">
        <is>
          <t>Dhaka GEN-A-1</t>
        </is>
      </c>
      <c r="E1127" s="11" t="inlineStr">
        <is>
          <t>Mr. Md. Masud Rana</t>
        </is>
      </c>
      <c r="F1127" s="10" t="n">
        <v>10487</v>
      </c>
      <c r="G1127" s="11" t="inlineStr">
        <is>
          <t>BMCH-Shankar Road</t>
        </is>
      </c>
      <c r="H1127" s="10" t="n">
        <v>5201</v>
      </c>
      <c r="I1127" s="11" t="inlineStr">
        <is>
          <t>Mr. Md. Mustakin Islam</t>
        </is>
      </c>
      <c r="J1127" s="10">
        <f>IF(K1127&gt;0, "Completed", "Pending")</f>
        <v/>
      </c>
      <c r="K1127" s="10">
        <f>COUNTIF('Survey Responses'!F:F, F1127)</f>
        <v/>
      </c>
    </row>
    <row r="1128">
      <c r="A1128" s="10" t="n">
        <v>1127</v>
      </c>
      <c r="B1128" s="11" t="inlineStr">
        <is>
          <t>Dhaka-D (GEN-A)</t>
        </is>
      </c>
      <c r="C1128" s="11" t="inlineStr">
        <is>
          <t>Mr. Abu Sufian Alam</t>
        </is>
      </c>
      <c r="D1128" s="11" t="inlineStr">
        <is>
          <t>Dhaka GEN-A-1</t>
        </is>
      </c>
      <c r="E1128" s="11" t="inlineStr">
        <is>
          <t>Mr. Md. Masud Rana</t>
        </is>
      </c>
      <c r="F1128" s="10" t="n">
        <v>10486</v>
      </c>
      <c r="G1128" s="11" t="inlineStr">
        <is>
          <t>Ibn-Sina D lab-Hazaribag</t>
        </is>
      </c>
      <c r="H1128" s="10" t="n">
        <v>8597</v>
      </c>
      <c r="I1128" s="11" t="inlineStr">
        <is>
          <t>Mr. Ariful Islam Meer</t>
        </is>
      </c>
      <c r="J1128" s="10">
        <f>IF(K1128&gt;0, "Completed", "Pending")</f>
        <v/>
      </c>
      <c r="K1128" s="10">
        <f>COUNTIF('Survey Responses'!F:F, F1128)</f>
        <v/>
      </c>
    </row>
    <row r="1129">
      <c r="A1129" s="10" t="n">
        <v>1128</v>
      </c>
      <c r="B1129" s="11" t="inlineStr">
        <is>
          <t>Dhaka-D (GEN-A)</t>
        </is>
      </c>
      <c r="C1129" s="11" t="inlineStr">
        <is>
          <t>Mr. Abu Sufian Alam</t>
        </is>
      </c>
      <c r="D1129" s="11" t="inlineStr">
        <is>
          <t>Dhaka GEN-A-1</t>
        </is>
      </c>
      <c r="E1129" s="11" t="inlineStr">
        <is>
          <t>Mr. Md. Masud Rana</t>
        </is>
      </c>
      <c r="F1129" s="10" t="n">
        <v>10484</v>
      </c>
      <c r="G1129" s="11" t="inlineStr">
        <is>
          <t>JBFH-Rayer Bazar</t>
        </is>
      </c>
      <c r="H1129" s="10" t="n">
        <v>3008</v>
      </c>
      <c r="I1129" s="11" t="inlineStr">
        <is>
          <t>Md. Rakib Hossain</t>
        </is>
      </c>
      <c r="J1129" s="10">
        <f>IF(K1129&gt;0, "Completed", "Pending")</f>
        <v/>
      </c>
      <c r="K1129" s="10">
        <f>COUNTIF('Survey Responses'!F:F, F1129)</f>
        <v/>
      </c>
    </row>
    <row r="1130">
      <c r="A1130" s="10" t="n">
        <v>1129</v>
      </c>
      <c r="B1130" s="11" t="inlineStr">
        <is>
          <t>Dhaka-D (GEN-A)</t>
        </is>
      </c>
      <c r="C1130" s="11" t="inlineStr">
        <is>
          <t>Mr. Abu Sufian Alam</t>
        </is>
      </c>
      <c r="D1130" s="11" t="inlineStr">
        <is>
          <t>Dhaka GEN-A-1</t>
        </is>
      </c>
      <c r="E1130" s="11" t="inlineStr">
        <is>
          <t>Mr. Md. Masud Rana</t>
        </is>
      </c>
      <c r="F1130" s="10" t="n">
        <v>10489</v>
      </c>
      <c r="G1130" s="11" t="inlineStr">
        <is>
          <t>NIMCH-Medinova</t>
        </is>
      </c>
      <c r="H1130" s="10" t="n">
        <v>8293</v>
      </c>
      <c r="I1130" s="11" t="inlineStr">
        <is>
          <t>Mr. Bipul Roy</t>
        </is>
      </c>
      <c r="J1130" s="10">
        <f>IF(K1130&gt;0, "Completed", "Pending")</f>
        <v/>
      </c>
      <c r="K1130" s="10">
        <f>COUNTIF('Survey Responses'!F:F, F1130)</f>
        <v/>
      </c>
    </row>
    <row r="1131">
      <c r="A1131" s="10" t="n">
        <v>1130</v>
      </c>
      <c r="B1131" s="11" t="inlineStr">
        <is>
          <t>Dhaka-D (GEN-A)</t>
        </is>
      </c>
      <c r="C1131" s="11" t="inlineStr">
        <is>
          <t>Mr. Abu Sufian Alam</t>
        </is>
      </c>
      <c r="D1131" s="11" t="inlineStr">
        <is>
          <t>Dhaka GEN-A-13</t>
        </is>
      </c>
      <c r="E1131" s="11" t="inlineStr">
        <is>
          <t>Mr. Santosh Kumar Mandal</t>
        </is>
      </c>
      <c r="F1131" s="10" t="n">
        <v>10495</v>
      </c>
      <c r="G1131" s="11" t="inlineStr">
        <is>
          <t>Azimpur-1</t>
        </is>
      </c>
      <c r="H1131" s="10" t="n">
        <v>1430</v>
      </c>
      <c r="I1131" s="11" t="inlineStr">
        <is>
          <t>Md. Mezanur Rahman</t>
        </is>
      </c>
      <c r="J1131" s="10">
        <f>IF(K1131&gt;0, "Completed", "Pending")</f>
        <v/>
      </c>
      <c r="K1131" s="10">
        <f>COUNTIF('Survey Responses'!F:F, F1131)</f>
        <v/>
      </c>
    </row>
    <row r="1132">
      <c r="A1132" s="10" t="n">
        <v>1131</v>
      </c>
      <c r="B1132" s="11" t="inlineStr">
        <is>
          <t>Dhaka-D (GEN-A)</t>
        </is>
      </c>
      <c r="C1132" s="11" t="inlineStr">
        <is>
          <t>Mr. Abu Sufian Alam</t>
        </is>
      </c>
      <c r="D1132" s="11" t="inlineStr">
        <is>
          <t>Dhaka GEN-A-13</t>
        </is>
      </c>
      <c r="E1132" s="11" t="inlineStr">
        <is>
          <t>Mr. Santosh Kumar Mandal</t>
        </is>
      </c>
      <c r="F1132" s="10" t="n">
        <v>14599</v>
      </c>
      <c r="G1132" s="11" t="inlineStr">
        <is>
          <t>Azimpur-2</t>
        </is>
      </c>
      <c r="H1132" s="10" t="n">
        <v>7674</v>
      </c>
      <c r="I1132" s="11" t="inlineStr">
        <is>
          <t>Mr.Md. Riaj Ahamed</t>
        </is>
      </c>
      <c r="J1132" s="10">
        <f>IF(K1132&gt;0, "Completed", "Pending")</f>
        <v/>
      </c>
      <c r="K1132" s="10">
        <f>COUNTIF('Survey Responses'!F:F, F1132)</f>
        <v/>
      </c>
    </row>
    <row r="1133">
      <c r="A1133" s="10" t="n">
        <v>1132</v>
      </c>
      <c r="B1133" s="11" t="inlineStr">
        <is>
          <t>Dhaka-D (GEN-A)</t>
        </is>
      </c>
      <c r="C1133" s="11" t="inlineStr">
        <is>
          <t>Mr. Abu Sufian Alam</t>
        </is>
      </c>
      <c r="D1133" s="11" t="inlineStr">
        <is>
          <t>Dhaka GEN-A-13</t>
        </is>
      </c>
      <c r="E1133" s="11" t="inlineStr">
        <is>
          <t>Mr. Santosh Kumar Mandal</t>
        </is>
      </c>
      <c r="F1133" s="10" t="n">
        <v>10496</v>
      </c>
      <c r="G1133" s="11" t="inlineStr">
        <is>
          <t>BDR Gate-1</t>
        </is>
      </c>
      <c r="H1133" s="10" t="n">
        <v>2239</v>
      </c>
      <c r="I1133" s="11" t="inlineStr">
        <is>
          <t>Md. Sirajul Islam</t>
        </is>
      </c>
      <c r="J1133" s="10">
        <f>IF(K1133&gt;0, "Completed", "Pending")</f>
        <v/>
      </c>
      <c r="K1133" s="10">
        <f>COUNTIF('Survey Responses'!F:F, F1133)</f>
        <v/>
      </c>
    </row>
    <row r="1134">
      <c r="A1134" s="10" t="n">
        <v>1133</v>
      </c>
      <c r="B1134" s="11" t="inlineStr">
        <is>
          <t>Dhaka-D (GEN-A)</t>
        </is>
      </c>
      <c r="C1134" s="11" t="inlineStr">
        <is>
          <t>Mr. Abu Sufian Alam</t>
        </is>
      </c>
      <c r="D1134" s="11" t="inlineStr">
        <is>
          <t>Dhaka GEN-A-13</t>
        </is>
      </c>
      <c r="E1134" s="11" t="inlineStr">
        <is>
          <t>Mr. Santosh Kumar Mandal</t>
        </is>
      </c>
      <c r="F1134" s="10" t="n">
        <v>10498</v>
      </c>
      <c r="G1134" s="11" t="inlineStr">
        <is>
          <t>BDR Gate-2</t>
        </is>
      </c>
      <c r="H1134" s="10" t="n">
        <v>3425</v>
      </c>
      <c r="I1134" s="11" t="inlineStr">
        <is>
          <t>Mr. Jafrul Alam</t>
        </is>
      </c>
      <c r="J1134" s="10">
        <f>IF(K1134&gt;0, "Completed", "Pending")</f>
        <v/>
      </c>
      <c r="K1134" s="10">
        <f>COUNTIF('Survey Responses'!F:F, F1134)</f>
        <v/>
      </c>
    </row>
    <row r="1135">
      <c r="A1135" s="10" t="n">
        <v>1134</v>
      </c>
      <c r="B1135" s="11" t="inlineStr">
        <is>
          <t>Dhaka-D (GEN-A)</t>
        </is>
      </c>
      <c r="C1135" s="11" t="inlineStr">
        <is>
          <t>Mr. Abu Sufian Alam</t>
        </is>
      </c>
      <c r="D1135" s="11" t="inlineStr">
        <is>
          <t>Dhaka GEN-A-13</t>
        </is>
      </c>
      <c r="E1135" s="11" t="inlineStr">
        <is>
          <t>Mr. Santosh Kumar Mandal</t>
        </is>
      </c>
      <c r="F1135" s="10" t="n">
        <v>10007</v>
      </c>
      <c r="G1135" s="11" t="inlineStr">
        <is>
          <t>DMCH-Lalbag</t>
        </is>
      </c>
      <c r="H1135" s="10" t="n">
        <v>2165</v>
      </c>
      <c r="I1135" s="11" t="inlineStr">
        <is>
          <t xml:space="preserve">Md. Habibur Rhaman            </t>
        </is>
      </c>
      <c r="J1135" s="10">
        <f>IF(K1135&gt;0, "Completed", "Pending")</f>
        <v/>
      </c>
      <c r="K1135" s="10">
        <f>COUNTIF('Survey Responses'!F:F, F1135)</f>
        <v/>
      </c>
    </row>
    <row r="1136">
      <c r="A1136" s="10" t="n">
        <v>1135</v>
      </c>
      <c r="B1136" s="11" t="inlineStr">
        <is>
          <t>Dhaka-D (GEN-A)</t>
        </is>
      </c>
      <c r="C1136" s="11" t="inlineStr">
        <is>
          <t>Mr. Abu Sufian Alam</t>
        </is>
      </c>
      <c r="D1136" s="11" t="inlineStr">
        <is>
          <t>Dhaka GEN-A-13</t>
        </is>
      </c>
      <c r="E1136" s="11" t="inlineStr">
        <is>
          <t>Mr. Santosh Kumar Mandal</t>
        </is>
      </c>
      <c r="F1136" s="10" t="n">
        <v>10492</v>
      </c>
      <c r="G1136" s="11" t="inlineStr">
        <is>
          <t>Kamrangirchar-1</t>
        </is>
      </c>
      <c r="H1136" s="10" t="n">
        <v>7038</v>
      </c>
      <c r="I1136" s="11" t="inlineStr">
        <is>
          <t>Mr. Abdul Barik</t>
        </is>
      </c>
      <c r="J1136" s="10">
        <f>IF(K1136&gt;0, "Completed", "Pending")</f>
        <v/>
      </c>
      <c r="K1136" s="10">
        <f>COUNTIF('Survey Responses'!F:F, F1136)</f>
        <v/>
      </c>
    </row>
    <row r="1137">
      <c r="A1137" s="10" t="n">
        <v>1136</v>
      </c>
      <c r="B1137" s="11" t="inlineStr">
        <is>
          <t>Dhaka-D (GEN-A)</t>
        </is>
      </c>
      <c r="C1137" s="11" t="inlineStr">
        <is>
          <t>Mr. Abu Sufian Alam</t>
        </is>
      </c>
      <c r="D1137" s="11" t="inlineStr">
        <is>
          <t>Dhaka GEN-A-13</t>
        </is>
      </c>
      <c r="E1137" s="11" t="inlineStr">
        <is>
          <t>Mr. Santosh Kumar Mandal</t>
        </is>
      </c>
      <c r="F1137" s="10" t="n">
        <v>12940</v>
      </c>
      <c r="G1137" s="11" t="inlineStr">
        <is>
          <t>Kamrangirchar-2</t>
        </is>
      </c>
      <c r="H1137" s="10" t="n">
        <v>5600</v>
      </c>
      <c r="I1137" s="11" t="inlineStr">
        <is>
          <t>Mr. Md. Shohidul Islam</t>
        </is>
      </c>
      <c r="J1137" s="10">
        <f>IF(K1137&gt;0, "Completed", "Pending")</f>
        <v/>
      </c>
      <c r="K1137" s="10">
        <f>COUNTIF('Survey Responses'!F:F, F1137)</f>
        <v/>
      </c>
    </row>
    <row r="1138">
      <c r="A1138" s="10" t="n">
        <v>1137</v>
      </c>
      <c r="B1138" s="11" t="inlineStr">
        <is>
          <t>Dhaka-D (GEN-A)</t>
        </is>
      </c>
      <c r="C1138" s="11" t="inlineStr">
        <is>
          <t>Mr. Abu Sufian Alam</t>
        </is>
      </c>
      <c r="D1138" s="11" t="inlineStr">
        <is>
          <t>Dhaka GEN-A-13</t>
        </is>
      </c>
      <c r="E1138" s="11" t="inlineStr">
        <is>
          <t>Mr. Santosh Kumar Mandal</t>
        </is>
      </c>
      <c r="F1138" s="10" t="n">
        <v>14872</v>
      </c>
      <c r="G1138" s="11" t="inlineStr">
        <is>
          <t>Kamrangirchar-3</t>
        </is>
      </c>
      <c r="H1138" s="10" t="n">
        <v>8993</v>
      </c>
      <c r="I1138" s="11" t="inlineStr">
        <is>
          <t>Mr. Md. Mehedi Hasan</t>
        </is>
      </c>
      <c r="J1138" s="10">
        <f>IF(K1138&gt;0, "Completed", "Pending")</f>
        <v/>
      </c>
      <c r="K1138" s="10">
        <f>COUNTIF('Survey Responses'!F:F, F1138)</f>
        <v/>
      </c>
    </row>
    <row r="1139">
      <c r="A1139" s="10" t="n">
        <v>1138</v>
      </c>
      <c r="B1139" s="11" t="inlineStr">
        <is>
          <t>Dhaka-D (GEN-A)</t>
        </is>
      </c>
      <c r="C1139" s="11" t="inlineStr">
        <is>
          <t>Mr. Abu Sufian Alam</t>
        </is>
      </c>
      <c r="D1139" s="11" t="inlineStr">
        <is>
          <t>Dhaka GEN-A-14</t>
        </is>
      </c>
      <c r="E1139" s="11" t="inlineStr">
        <is>
          <t>Mr. Md. Mahmudul Hasan</t>
        </is>
      </c>
      <c r="F1139" s="10" t="n">
        <v>10475</v>
      </c>
      <c r="G1139" s="11" t="inlineStr">
        <is>
          <t>Al-Manar Hospital-Lalmatia-1</t>
        </is>
      </c>
      <c r="H1139" s="10" t="n">
        <v>1906</v>
      </c>
      <c r="I1139" s="11" t="inlineStr">
        <is>
          <t>Md. Mahbubur Rahman</t>
        </is>
      </c>
      <c r="J1139" s="10">
        <f>IF(K1139&gt;0, "Completed", "Pending")</f>
        <v/>
      </c>
      <c r="K1139" s="10">
        <f>COUNTIF('Survey Responses'!F:F, F1139)</f>
        <v/>
      </c>
    </row>
    <row r="1140">
      <c r="A1140" s="10" t="n">
        <v>1139</v>
      </c>
      <c r="B1140" s="11" t="inlineStr">
        <is>
          <t>Dhaka-D (GEN-A)</t>
        </is>
      </c>
      <c r="C1140" s="11" t="inlineStr">
        <is>
          <t>Mr. Abu Sufian Alam</t>
        </is>
      </c>
      <c r="D1140" s="11" t="inlineStr">
        <is>
          <t>Dhaka GEN-A-14</t>
        </is>
      </c>
      <c r="E1140" s="11" t="inlineStr">
        <is>
          <t>Mr. Md. Mahmudul Hasan</t>
        </is>
      </c>
      <c r="F1140" s="10" t="n">
        <v>14858</v>
      </c>
      <c r="G1140" s="11" t="inlineStr">
        <is>
          <t>Al-Manar-Chaduddan</t>
        </is>
      </c>
      <c r="H1140" s="10" t="n">
        <v>8975</v>
      </c>
      <c r="I1140" s="11" t="inlineStr">
        <is>
          <t>Mr. Tapan Chandra Mohanta</t>
        </is>
      </c>
      <c r="J1140" s="10">
        <f>IF(K1140&gt;0, "Completed", "Pending")</f>
        <v/>
      </c>
      <c r="K1140" s="10">
        <f>COUNTIF('Survey Responses'!F:F, F1140)</f>
        <v/>
      </c>
    </row>
    <row r="1141">
      <c r="A1141" s="10" t="n">
        <v>1140</v>
      </c>
      <c r="B1141" s="11" t="inlineStr">
        <is>
          <t>Dhaka-D (GEN-A)</t>
        </is>
      </c>
      <c r="C1141" s="11" t="inlineStr">
        <is>
          <t>Mr. Abu Sufian Alam</t>
        </is>
      </c>
      <c r="D1141" s="11" t="inlineStr">
        <is>
          <t>Dhaka GEN-A-14</t>
        </is>
      </c>
      <c r="E1141" s="11" t="inlineStr">
        <is>
          <t>Mr. Md. Mahmudul Hasan</t>
        </is>
      </c>
      <c r="F1141" s="10" t="n">
        <v>13299</v>
      </c>
      <c r="G1141" s="11" t="inlineStr">
        <is>
          <t>MFSTC-Nabodoy</t>
        </is>
      </c>
      <c r="H1141" s="10" t="n">
        <v>5914</v>
      </c>
      <c r="I1141" s="11" t="inlineStr">
        <is>
          <t>Mr. Md. Ripon Sheikh</t>
        </is>
      </c>
      <c r="J1141" s="10">
        <f>IF(K1141&gt;0, "Completed", "Pending")</f>
        <v/>
      </c>
      <c r="K1141" s="10">
        <f>COUNTIF('Survey Responses'!F:F, F1141)</f>
        <v/>
      </c>
    </row>
    <row r="1142">
      <c r="A1142" s="10" t="n">
        <v>1141</v>
      </c>
      <c r="B1142" s="11" t="inlineStr">
        <is>
          <t>Dhaka-D (GEN-A)</t>
        </is>
      </c>
      <c r="C1142" s="11" t="inlineStr">
        <is>
          <t>Mr. Abu Sufian Alam</t>
        </is>
      </c>
      <c r="D1142" s="11" t="inlineStr">
        <is>
          <t>Dhaka GEN-A-14</t>
        </is>
      </c>
      <c r="E1142" s="11" t="inlineStr">
        <is>
          <t>Mr. Md. Mahmudul Hasan</t>
        </is>
      </c>
      <c r="F1142" s="10" t="n">
        <v>12328</v>
      </c>
      <c r="G1142" s="11" t="inlineStr">
        <is>
          <t>NIKDU-Adabar-1</t>
        </is>
      </c>
      <c r="H1142" s="10" t="n">
        <v>3712</v>
      </c>
      <c r="I1142" s="11" t="inlineStr">
        <is>
          <t>Mr. Md. Hachanur Rahman</t>
        </is>
      </c>
      <c r="J1142" s="10">
        <f>IF(K1142&gt;0, "Completed", "Pending")</f>
        <v/>
      </c>
      <c r="K1142" s="10">
        <f>COUNTIF('Survey Responses'!F:F, F1142)</f>
        <v/>
      </c>
    </row>
    <row r="1143">
      <c r="A1143" s="10" t="n">
        <v>1142</v>
      </c>
      <c r="B1143" s="11" t="inlineStr">
        <is>
          <t>Dhaka-D (GEN-A)</t>
        </is>
      </c>
      <c r="C1143" s="11" t="inlineStr">
        <is>
          <t>Mr. Abu Sufian Alam</t>
        </is>
      </c>
      <c r="D1143" s="11" t="inlineStr">
        <is>
          <t>Dhaka GEN-A-14</t>
        </is>
      </c>
      <c r="E1143" s="11" t="inlineStr">
        <is>
          <t>Mr. Md. Mahmudul Hasan</t>
        </is>
      </c>
      <c r="F1143" s="10" t="n">
        <v>12325</v>
      </c>
      <c r="G1143" s="11" t="inlineStr">
        <is>
          <t>Rohitpur-1</t>
        </is>
      </c>
      <c r="H1143" s="10" t="n">
        <v>3705</v>
      </c>
      <c r="I1143" s="11" t="inlineStr">
        <is>
          <t>Mr. Md. Shamsul Alam</t>
        </is>
      </c>
      <c r="J1143" s="10">
        <f>IF(K1143&gt;0, "Completed", "Pending")</f>
        <v/>
      </c>
      <c r="K1143" s="10">
        <f>COUNTIF('Survey Responses'!F:F, F1143)</f>
        <v/>
      </c>
    </row>
    <row r="1144">
      <c r="A1144" s="10" t="n">
        <v>1143</v>
      </c>
      <c r="B1144" s="11" t="inlineStr">
        <is>
          <t>Dhaka-D (GEN-A)</t>
        </is>
      </c>
      <c r="C1144" s="11" t="inlineStr">
        <is>
          <t>Mr. Abu Sufian Alam</t>
        </is>
      </c>
      <c r="D1144" s="11" t="inlineStr">
        <is>
          <t>Dhaka GEN-A-14</t>
        </is>
      </c>
      <c r="E1144" s="11" t="inlineStr">
        <is>
          <t>Mr. Md. Mahmudul Hasan</t>
        </is>
      </c>
      <c r="F1144" s="10" t="n">
        <v>10473</v>
      </c>
      <c r="G1144" s="11" t="inlineStr">
        <is>
          <t>ShSMCH-Krishi Market</t>
        </is>
      </c>
      <c r="H1144" s="10" t="n">
        <v>1559</v>
      </c>
      <c r="I1144" s="11" t="inlineStr">
        <is>
          <t>Md. Samiul Islam</t>
        </is>
      </c>
      <c r="J1144" s="10">
        <f>IF(K1144&gt;0, "Completed", "Pending")</f>
        <v/>
      </c>
      <c r="K1144" s="10">
        <f>COUNTIF('Survey Responses'!F:F, F1144)</f>
        <v/>
      </c>
    </row>
    <row r="1145">
      <c r="A1145" s="10" t="n">
        <v>1144</v>
      </c>
      <c r="B1145" s="11" t="inlineStr">
        <is>
          <t>Dhaka-D (GEN-A)</t>
        </is>
      </c>
      <c r="C1145" s="11" t="inlineStr">
        <is>
          <t>Mr. Abu Sufian Alam</t>
        </is>
      </c>
      <c r="D1145" s="11" t="inlineStr">
        <is>
          <t>Dhaka GEN-A-14</t>
        </is>
      </c>
      <c r="E1145" s="11" t="inlineStr">
        <is>
          <t>Mr. Md. Mahmudul Hasan</t>
        </is>
      </c>
      <c r="F1145" s="10" t="n">
        <v>10470</v>
      </c>
      <c r="G1145" s="11" t="inlineStr">
        <is>
          <t>ShSMCH-Mohammadpur</t>
        </is>
      </c>
      <c r="H1145" s="10" t="n">
        <v>7457</v>
      </c>
      <c r="I1145" s="11" t="inlineStr">
        <is>
          <t>Mr. Md. Shahin Islam</t>
        </is>
      </c>
      <c r="J1145" s="10">
        <f>IF(K1145&gt;0, "Completed", "Pending")</f>
        <v/>
      </c>
      <c r="K1145" s="10">
        <f>COUNTIF('Survey Responses'!F:F, F1145)</f>
        <v/>
      </c>
    </row>
    <row r="1146">
      <c r="A1146" s="10" t="n">
        <v>1145</v>
      </c>
      <c r="B1146" s="11" t="inlineStr">
        <is>
          <t>Dhaka-D (GEN-A)</t>
        </is>
      </c>
      <c r="C1146" s="11" t="inlineStr">
        <is>
          <t>Mr. Abu Sufian Alam</t>
        </is>
      </c>
      <c r="D1146" s="11" t="inlineStr">
        <is>
          <t>Dhaka GEN-A-22</t>
        </is>
      </c>
      <c r="E1146" s="11" t="inlineStr">
        <is>
          <t>Mr. Md. Shazidul Haque</t>
        </is>
      </c>
      <c r="F1146" s="10" t="n">
        <v>10474</v>
      </c>
      <c r="G1146" s="11" t="inlineStr">
        <is>
          <t>NIKDU-Trauma</t>
        </is>
      </c>
      <c r="H1146" s="10" t="n">
        <v>753</v>
      </c>
      <c r="I1146" s="11" t="inlineStr">
        <is>
          <t>Md.Towhid Mizan</t>
        </is>
      </c>
      <c r="J1146" s="10">
        <f>IF(K1146&gt;0, "Completed", "Pending")</f>
        <v/>
      </c>
      <c r="K1146" s="10">
        <f>COUNTIF('Survey Responses'!F:F, F1146)</f>
        <v/>
      </c>
    </row>
    <row r="1147">
      <c r="A1147" s="10" t="n">
        <v>1146</v>
      </c>
      <c r="B1147" s="11" t="inlineStr">
        <is>
          <t>Dhaka-D (GEN-A)</t>
        </is>
      </c>
      <c r="C1147" s="11" t="inlineStr">
        <is>
          <t>Mr. Abu Sufian Alam</t>
        </is>
      </c>
      <c r="D1147" s="11" t="inlineStr">
        <is>
          <t>Dhaka GEN-A-22</t>
        </is>
      </c>
      <c r="E1147" s="11" t="inlineStr">
        <is>
          <t>Mr. Md. Shazidul Haque</t>
        </is>
      </c>
      <c r="F1147" s="10" t="n">
        <v>13182</v>
      </c>
      <c r="G1147" s="11" t="inlineStr">
        <is>
          <t>NIKDU-Trauma-2</t>
        </is>
      </c>
      <c r="H1147" s="10" t="n">
        <v>5790</v>
      </c>
      <c r="I1147" s="11" t="inlineStr">
        <is>
          <t>Mr. Md. Asaduzzaman</t>
        </is>
      </c>
      <c r="J1147" s="10">
        <f>IF(K1147&gt;0, "Completed", "Pending")</f>
        <v/>
      </c>
      <c r="K1147" s="10">
        <f>COUNTIF('Survey Responses'!F:F, F1147)</f>
        <v/>
      </c>
    </row>
    <row r="1148">
      <c r="A1148" s="10" t="n">
        <v>1147</v>
      </c>
      <c r="B1148" s="11" t="inlineStr">
        <is>
          <t>Dhaka-D (GEN-A)</t>
        </is>
      </c>
      <c r="C1148" s="11" t="inlineStr">
        <is>
          <t>Mr. Abu Sufian Alam</t>
        </is>
      </c>
      <c r="D1148" s="11" t="inlineStr">
        <is>
          <t>Dhaka GEN-A-22</t>
        </is>
      </c>
      <c r="E1148" s="11" t="inlineStr">
        <is>
          <t>Mr. Md. Shazidul Haque</t>
        </is>
      </c>
      <c r="F1148" s="10" t="n">
        <v>10472</v>
      </c>
      <c r="G1148" s="11" t="inlineStr">
        <is>
          <t>ShSMCH-Adabar</t>
        </is>
      </c>
      <c r="H1148" s="10" t="n">
        <v>8652</v>
      </c>
      <c r="I1148" s="11" t="inlineStr">
        <is>
          <t>Mr. Jagodish Chandro</t>
        </is>
      </c>
      <c r="J1148" s="10">
        <f>IF(K1148&gt;0, "Completed", "Pending")</f>
        <v/>
      </c>
      <c r="K1148" s="10">
        <f>COUNTIF('Survey Responses'!F:F, F1148)</f>
        <v/>
      </c>
    </row>
    <row r="1149">
      <c r="A1149" s="10" t="n">
        <v>1148</v>
      </c>
      <c r="B1149" s="11" t="inlineStr">
        <is>
          <t>Dhaka-D (GEN-A)</t>
        </is>
      </c>
      <c r="C1149" s="11" t="inlineStr">
        <is>
          <t>Mr. Abu Sufian Alam</t>
        </is>
      </c>
      <c r="D1149" s="11" t="inlineStr">
        <is>
          <t>Dhaka GEN-A-22</t>
        </is>
      </c>
      <c r="E1149" s="11" t="inlineStr">
        <is>
          <t>Mr. Md. Shazidul Haque</t>
        </is>
      </c>
      <c r="F1149" s="10" t="n">
        <v>10469</v>
      </c>
      <c r="G1149" s="11" t="inlineStr">
        <is>
          <t>ShSMCH-BDM Hosp.</t>
        </is>
      </c>
      <c r="H1149" s="10" t="n">
        <v>3509</v>
      </c>
      <c r="I1149" s="11" t="inlineStr">
        <is>
          <t>Mr. Md. Nur Hasan</t>
        </is>
      </c>
      <c r="J1149" s="10">
        <f>IF(K1149&gt;0, "Completed", "Pending")</f>
        <v/>
      </c>
      <c r="K1149" s="10">
        <f>COUNTIF('Survey Responses'!F:F, F1149)</f>
        <v/>
      </c>
    </row>
    <row r="1150">
      <c r="A1150" s="10" t="n">
        <v>1149</v>
      </c>
      <c r="B1150" s="11" t="inlineStr">
        <is>
          <t>Dhaka-D (GEN-A)</t>
        </is>
      </c>
      <c r="C1150" s="11" t="inlineStr">
        <is>
          <t>Mr. Abu Sufian Alam</t>
        </is>
      </c>
      <c r="D1150" s="11" t="inlineStr">
        <is>
          <t>Dhaka GEN-A-22</t>
        </is>
      </c>
      <c r="E1150" s="11" t="inlineStr">
        <is>
          <t>Mr. Md. Shazidul Haque</t>
        </is>
      </c>
      <c r="F1150" s="10" t="n">
        <v>10476</v>
      </c>
      <c r="G1150" s="11" t="inlineStr">
        <is>
          <t>ShSMCH-DCIMCH</t>
        </is>
      </c>
      <c r="H1150" s="10" t="n">
        <v>1557</v>
      </c>
      <c r="I1150" s="11" t="inlineStr">
        <is>
          <t>Md. Anisur Rahaman</t>
        </is>
      </c>
      <c r="J1150" s="10">
        <f>IF(K1150&gt;0, "Completed", "Pending")</f>
        <v/>
      </c>
      <c r="K1150" s="10">
        <f>COUNTIF('Survey Responses'!F:F, F1150)</f>
        <v/>
      </c>
    </row>
    <row r="1151">
      <c r="A1151" s="10" t="n">
        <v>1150</v>
      </c>
      <c r="B1151" s="11" t="inlineStr">
        <is>
          <t>Dhaka-D (GEN-A)</t>
        </is>
      </c>
      <c r="C1151" s="11" t="inlineStr">
        <is>
          <t>Mr. Abu Sufian Alam</t>
        </is>
      </c>
      <c r="D1151" s="11" t="inlineStr">
        <is>
          <t>Dhaka GEN-A-22</t>
        </is>
      </c>
      <c r="E1151" s="11" t="inlineStr">
        <is>
          <t>Mr. Md. Shazidul Haque</t>
        </is>
      </c>
      <c r="F1151" s="10" t="n">
        <v>14847</v>
      </c>
      <c r="G1151" s="11" t="inlineStr">
        <is>
          <t>ShSMCH-Krishi Market-2</t>
        </is>
      </c>
      <c r="H1151" s="10" t="n">
        <v>8938</v>
      </c>
      <c r="I1151" s="11" t="inlineStr">
        <is>
          <t>Mr. Mithun Debnath</t>
        </is>
      </c>
      <c r="J1151" s="10">
        <f>IF(K1151&gt;0, "Completed", "Pending")</f>
        <v/>
      </c>
      <c r="K1151" s="10">
        <f>COUNTIF('Survey Responses'!F:F, F1151)</f>
        <v/>
      </c>
    </row>
    <row r="1152">
      <c r="A1152" s="10" t="n">
        <v>1151</v>
      </c>
      <c r="B1152" s="11" t="inlineStr">
        <is>
          <t>Dhaka-D (GEN-A)</t>
        </is>
      </c>
      <c r="C1152" s="11" t="inlineStr">
        <is>
          <t>Mr. Abu Sufian Alam</t>
        </is>
      </c>
      <c r="D1152" s="11" t="inlineStr">
        <is>
          <t>Dhaka GEN-A-22</t>
        </is>
      </c>
      <c r="E1152" s="11" t="inlineStr">
        <is>
          <t>Mr. Md. Shazidul Haque</t>
        </is>
      </c>
      <c r="F1152" s="10" t="n">
        <v>10471</v>
      </c>
      <c r="G1152" s="11" t="inlineStr">
        <is>
          <t>ShSMCH-Shyamoly</t>
        </is>
      </c>
      <c r="H1152" s="10" t="n">
        <v>3249</v>
      </c>
      <c r="I1152" s="11" t="inlineStr">
        <is>
          <t>Md. Shamim Alam</t>
        </is>
      </c>
      <c r="J1152" s="10">
        <f>IF(K1152&gt;0, "Completed", "Pending")</f>
        <v/>
      </c>
      <c r="K1152" s="10">
        <f>COUNTIF('Survey Responses'!F:F, F1152)</f>
        <v/>
      </c>
    </row>
    <row r="1153">
      <c r="A1153" s="10" t="n">
        <v>1152</v>
      </c>
      <c r="B1153" s="11" t="inlineStr">
        <is>
          <t>Dhaka-D (GEN-A)</t>
        </is>
      </c>
      <c r="C1153" s="11" t="inlineStr">
        <is>
          <t>Mr. Abu Sufian Alam</t>
        </is>
      </c>
      <c r="D1153" s="11" t="inlineStr">
        <is>
          <t>Dhaka GEN-A-29</t>
        </is>
      </c>
      <c r="E1153" s="11" t="inlineStr">
        <is>
          <t>Md. Shahinur Rahman</t>
        </is>
      </c>
      <c r="F1153" s="10" t="n">
        <v>10494</v>
      </c>
      <c r="G1153" s="11" t="inlineStr">
        <is>
          <t>Atibazar-1</t>
        </is>
      </c>
      <c r="H1153" s="10" t="n">
        <v>3044</v>
      </c>
      <c r="I1153" s="11" t="inlineStr">
        <is>
          <t>Md. Nurunnabi</t>
        </is>
      </c>
      <c r="J1153" s="10">
        <f>IF(K1153&gt;0, "Completed", "Pending")</f>
        <v/>
      </c>
      <c r="K1153" s="10">
        <f>COUNTIF('Survey Responses'!F:F, F1153)</f>
        <v/>
      </c>
    </row>
    <row r="1154">
      <c r="A1154" s="10" t="n">
        <v>1153</v>
      </c>
      <c r="B1154" s="11" t="inlineStr">
        <is>
          <t>Dhaka-D (GEN-A)</t>
        </is>
      </c>
      <c r="C1154" s="11" t="inlineStr">
        <is>
          <t>Mr. Abu Sufian Alam</t>
        </is>
      </c>
      <c r="D1154" s="11" t="inlineStr">
        <is>
          <t>Dhaka GEN-A-29</t>
        </is>
      </c>
      <c r="E1154" s="11" t="inlineStr">
        <is>
          <t>Md. Shahinur Rahman</t>
        </is>
      </c>
      <c r="F1154" s="10" t="n">
        <v>14889</v>
      </c>
      <c r="G1154" s="11" t="inlineStr">
        <is>
          <t>Atibazar-2</t>
        </is>
      </c>
      <c r="H1154" s="10" t="n">
        <v>9057</v>
      </c>
      <c r="I1154" s="11" t="inlineStr">
        <is>
          <t>Mr. Md. Mostafizur Rahman</t>
        </is>
      </c>
      <c r="J1154" s="10">
        <f>IF(K1154&gt;0, "Completed", "Pending")</f>
        <v/>
      </c>
      <c r="K1154" s="10">
        <f>COUNTIF('Survey Responses'!F:F, F1154)</f>
        <v/>
      </c>
    </row>
    <row r="1155">
      <c r="A1155" s="10" t="n">
        <v>1154</v>
      </c>
      <c r="B1155" s="11" t="inlineStr">
        <is>
          <t>Dhaka-D (GEN-A)</t>
        </is>
      </c>
      <c r="C1155" s="11" t="inlineStr">
        <is>
          <t>Mr. Abu Sufian Alam</t>
        </is>
      </c>
      <c r="D1155" s="11" t="inlineStr">
        <is>
          <t>Dhaka GEN-A-29</t>
        </is>
      </c>
      <c r="E1155" s="11" t="inlineStr">
        <is>
          <t>Md. Shahinur Rahman</t>
        </is>
      </c>
      <c r="F1155" s="10" t="n">
        <v>10488</v>
      </c>
      <c r="G1155" s="11" t="inlineStr">
        <is>
          <t>BMCH-Ibn Sina</t>
        </is>
      </c>
      <c r="H1155" s="10" t="n">
        <v>1415</v>
      </c>
      <c r="I1155" s="11" t="inlineStr">
        <is>
          <t>Md. Magfurul Alom</t>
        </is>
      </c>
      <c r="J1155" s="10">
        <f>IF(K1155&gt;0, "Completed", "Pending")</f>
        <v/>
      </c>
      <c r="K1155" s="10">
        <f>COUNTIF('Survey Responses'!F:F, F1155)</f>
        <v/>
      </c>
    </row>
    <row r="1156">
      <c r="A1156" s="10" t="n">
        <v>1155</v>
      </c>
      <c r="B1156" s="11" t="inlineStr">
        <is>
          <t>Dhaka-D (GEN-A)</t>
        </is>
      </c>
      <c r="C1156" s="11" t="inlineStr">
        <is>
          <t>Mr. Abu Sufian Alam</t>
        </is>
      </c>
      <c r="D1156" s="11" t="inlineStr">
        <is>
          <t>Dhaka GEN-A-29</t>
        </is>
      </c>
      <c r="E1156" s="11" t="inlineStr">
        <is>
          <t>Md. Shahinur Rahman</t>
        </is>
      </c>
      <c r="F1156" s="10" t="n">
        <v>12590</v>
      </c>
      <c r="G1156" s="11" t="inlineStr">
        <is>
          <t>City Hospital-Bosila-1</t>
        </is>
      </c>
      <c r="H1156" s="10" t="n">
        <v>4024</v>
      </c>
      <c r="I1156" s="11" t="inlineStr">
        <is>
          <t>Md. Naeem Hossen</t>
        </is>
      </c>
      <c r="J1156" s="10">
        <f>IF(K1156&gt;0, "Completed", "Pending")</f>
        <v/>
      </c>
      <c r="K1156" s="10">
        <f>COUNTIF('Survey Responses'!F:F, F1156)</f>
        <v/>
      </c>
    </row>
    <row r="1157">
      <c r="A1157" s="10" t="n">
        <v>1156</v>
      </c>
      <c r="B1157" s="11" t="inlineStr">
        <is>
          <t>Dhaka-D (GEN-A)</t>
        </is>
      </c>
      <c r="C1157" s="11" t="inlineStr">
        <is>
          <t>Mr. Abu Sufian Alam</t>
        </is>
      </c>
      <c r="D1157" s="11" t="inlineStr">
        <is>
          <t>Dhaka GEN-A-29</t>
        </is>
      </c>
      <c r="E1157" s="11" t="inlineStr">
        <is>
          <t>Md. Shahinur Rahman</t>
        </is>
      </c>
      <c r="F1157" s="10" t="n">
        <v>10490</v>
      </c>
      <c r="G1157" s="11" t="inlineStr">
        <is>
          <t>IBN Sina Hospital</t>
        </is>
      </c>
      <c r="H1157" s="10" t="n">
        <v>791</v>
      </c>
      <c r="I1157" s="11" t="inlineStr">
        <is>
          <t>Md. Rashed Ahmed</t>
        </is>
      </c>
      <c r="J1157" s="10">
        <f>IF(K1157&gt;0, "Completed", "Pending")</f>
        <v/>
      </c>
      <c r="K1157" s="10">
        <f>COUNTIF('Survey Responses'!F:F, F1157)</f>
        <v/>
      </c>
    </row>
    <row r="1158">
      <c r="A1158" s="10" t="n">
        <v>1157</v>
      </c>
      <c r="B1158" s="11" t="inlineStr">
        <is>
          <t>Dhaka-D (GEN-A)</t>
        </is>
      </c>
      <c r="C1158" s="11" t="inlineStr">
        <is>
          <t>Mr. Abu Sufian Alam</t>
        </is>
      </c>
      <c r="D1158" s="11" t="inlineStr">
        <is>
          <t>Dhaka GEN-A-29</t>
        </is>
      </c>
      <c r="E1158" s="11" t="inlineStr">
        <is>
          <t>Md. Shahinur Rahman</t>
        </is>
      </c>
      <c r="F1158" s="10" t="n">
        <v>10485</v>
      </c>
      <c r="G1158" s="11" t="inlineStr">
        <is>
          <t>Ibn-sina Hosp. Sankar</t>
        </is>
      </c>
      <c r="H1158" s="10" t="n">
        <v>8770</v>
      </c>
      <c r="I1158" s="11" t="inlineStr">
        <is>
          <t>Mr. Md. Manjurul Islam</t>
        </is>
      </c>
      <c r="J1158" s="10">
        <f>IF(K1158&gt;0, "Completed", "Pending")</f>
        <v/>
      </c>
      <c r="K1158" s="10">
        <f>COUNTIF('Survey Responses'!F:F, F1158)</f>
        <v/>
      </c>
    </row>
    <row r="1159">
      <c r="A1159" s="10" t="n">
        <v>1158</v>
      </c>
      <c r="B1159" s="11" t="inlineStr">
        <is>
          <t>Dhaka-D (GEN-A)</t>
        </is>
      </c>
      <c r="C1159" s="11" t="inlineStr">
        <is>
          <t>Mr. Abu Sufian Alam</t>
        </is>
      </c>
      <c r="D1159" s="11" t="inlineStr">
        <is>
          <t>Dhaka GEN-A-29</t>
        </is>
      </c>
      <c r="E1159" s="11" t="inlineStr">
        <is>
          <t>Md. Shahinur Rahman</t>
        </is>
      </c>
      <c r="F1159" s="10" t="n">
        <v>12269</v>
      </c>
      <c r="G1159" s="11" t="inlineStr">
        <is>
          <t>Kalatia-1</t>
        </is>
      </c>
      <c r="H1159" s="10" t="n">
        <v>2451</v>
      </c>
      <c r="I1159" s="11" t="inlineStr">
        <is>
          <t>Mahafuzur Rahman</t>
        </is>
      </c>
      <c r="J1159" s="10">
        <f>IF(K1159&gt;0, "Completed", "Pending")</f>
        <v/>
      </c>
      <c r="K1159" s="10">
        <f>COUNTIF('Survey Responses'!F:F, F1159)</f>
        <v/>
      </c>
    </row>
    <row r="1160">
      <c r="A1160" s="10" t="n">
        <v>1159</v>
      </c>
      <c r="B1160" s="11" t="inlineStr">
        <is>
          <t>Dhaka-D (GEN-A)</t>
        </is>
      </c>
      <c r="C1160" s="11" t="inlineStr">
        <is>
          <t>Mr. Abu Sufian Alam</t>
        </is>
      </c>
      <c r="D1160" s="11" t="inlineStr">
        <is>
          <t>Dhaka GEN-A-8</t>
        </is>
      </c>
      <c r="E1160" s="11" t="inlineStr">
        <is>
          <t>Mohammad Rakib Hossain</t>
        </is>
      </c>
      <c r="F1160" s="10" t="n">
        <v>10482</v>
      </c>
      <c r="G1160" s="11" t="inlineStr">
        <is>
          <t>NICVD-ENT Hospital</t>
        </is>
      </c>
      <c r="H1160" s="10" t="n">
        <v>4139</v>
      </c>
      <c r="I1160" s="11" t="inlineStr">
        <is>
          <t>Mr. Md. Halim Mondal</t>
        </is>
      </c>
      <c r="J1160" s="10">
        <f>IF(K1160&gt;0, "Completed", "Pending")</f>
        <v/>
      </c>
      <c r="K1160" s="10">
        <f>COUNTIF('Survey Responses'!F:F, F1160)</f>
        <v/>
      </c>
    </row>
    <row r="1161">
      <c r="A1161" s="10" t="n">
        <v>1160</v>
      </c>
      <c r="B1161" s="11" t="inlineStr">
        <is>
          <t>Dhaka-D (GEN-A)</t>
        </is>
      </c>
      <c r="C1161" s="11" t="inlineStr">
        <is>
          <t>Mr. Abu Sufian Alam</t>
        </is>
      </c>
      <c r="D1161" s="11" t="inlineStr">
        <is>
          <t>Dhaka GEN-A-8</t>
        </is>
      </c>
      <c r="E1161" s="11" t="inlineStr">
        <is>
          <t>Mohammad Rakib Hossain</t>
        </is>
      </c>
      <c r="F1161" s="10" t="n">
        <v>10478</v>
      </c>
      <c r="G1161" s="11" t="inlineStr">
        <is>
          <t>NICVD-Popular-1</t>
        </is>
      </c>
      <c r="H1161" s="10" t="n">
        <v>6820</v>
      </c>
      <c r="I1161" s="11" t="inlineStr">
        <is>
          <t>Mr. Md. Rakibul Islam</t>
        </is>
      </c>
      <c r="J1161" s="10">
        <f>IF(K1161&gt;0, "Completed", "Pending")</f>
        <v/>
      </c>
      <c r="K1161" s="10">
        <f>COUNTIF('Survey Responses'!F:F, F1161)</f>
        <v/>
      </c>
    </row>
    <row r="1162">
      <c r="A1162" s="10" t="n">
        <v>1161</v>
      </c>
      <c r="B1162" s="11" t="inlineStr">
        <is>
          <t>Dhaka-D (GEN-A)</t>
        </is>
      </c>
      <c r="C1162" s="11" t="inlineStr">
        <is>
          <t>Mr. Abu Sufian Alam</t>
        </is>
      </c>
      <c r="D1162" s="11" t="inlineStr">
        <is>
          <t>Dhaka GEN-A-8</t>
        </is>
      </c>
      <c r="E1162" s="11" t="inlineStr">
        <is>
          <t>Mohammad Rakib Hossain</t>
        </is>
      </c>
      <c r="F1162" s="10" t="n">
        <v>10479</v>
      </c>
      <c r="G1162" s="11" t="inlineStr">
        <is>
          <t>NICVD-Popular-2</t>
        </is>
      </c>
      <c r="H1162" s="10" t="n">
        <v>3579</v>
      </c>
      <c r="I1162" s="11" t="inlineStr">
        <is>
          <t>Mr. Md. Nuralom Miah</t>
        </is>
      </c>
      <c r="J1162" s="10">
        <f>IF(K1162&gt;0, "Completed", "Pending")</f>
        <v/>
      </c>
      <c r="K1162" s="10">
        <f>COUNTIF('Survey Responses'!F:F, F1162)</f>
        <v/>
      </c>
    </row>
    <row r="1163">
      <c r="A1163" s="10" t="n">
        <v>1162</v>
      </c>
      <c r="B1163" s="11" t="inlineStr">
        <is>
          <t>Dhaka-D (GEN-A)</t>
        </is>
      </c>
      <c r="C1163" s="11" t="inlineStr">
        <is>
          <t>Mr. Abu Sufian Alam</t>
        </is>
      </c>
      <c r="D1163" s="11" t="inlineStr">
        <is>
          <t>Dhaka GEN-A-8</t>
        </is>
      </c>
      <c r="E1163" s="11" t="inlineStr">
        <is>
          <t>Mohammad Rakib Hossain</t>
        </is>
      </c>
      <c r="F1163" s="10" t="n">
        <v>10477</v>
      </c>
      <c r="G1163" s="11" t="inlineStr">
        <is>
          <t>NICVD-Popular-3</t>
        </is>
      </c>
      <c r="H1163" s="10" t="n">
        <v>7637</v>
      </c>
      <c r="I1163" s="11" t="inlineStr">
        <is>
          <t>Mr. Eshor Chandra</t>
        </is>
      </c>
      <c r="J1163" s="10">
        <f>IF(K1163&gt;0, "Completed", "Pending")</f>
        <v/>
      </c>
      <c r="K1163" s="10">
        <f>COUNTIF('Survey Responses'!F:F, F1163)</f>
        <v/>
      </c>
    </row>
    <row r="1164">
      <c r="A1164" s="10" t="n">
        <v>1163</v>
      </c>
      <c r="B1164" s="11" t="inlineStr">
        <is>
          <t>Dhaka-D (GEN-A)</t>
        </is>
      </c>
      <c r="C1164" s="11" t="inlineStr">
        <is>
          <t>Mr. Abu Sufian Alam</t>
        </is>
      </c>
      <c r="D1164" s="11" t="inlineStr">
        <is>
          <t>Dhaka GEN-A-8</t>
        </is>
      </c>
      <c r="E1164" s="11" t="inlineStr">
        <is>
          <t>Mohammad Rakib Hossain</t>
        </is>
      </c>
      <c r="F1164" s="10" t="n">
        <v>10480</v>
      </c>
      <c r="G1164" s="11" t="inlineStr">
        <is>
          <t>NICVD-Popular-4</t>
        </is>
      </c>
      <c r="H1164" s="10" t="n">
        <v>8754</v>
      </c>
      <c r="I1164" s="11" t="inlineStr">
        <is>
          <t>Mr. Md. Sohel Rana</t>
        </is>
      </c>
      <c r="J1164" s="10">
        <f>IF(K1164&gt;0, "Completed", "Pending")</f>
        <v/>
      </c>
      <c r="K1164" s="10">
        <f>COUNTIF('Survey Responses'!F:F, F1164)</f>
        <v/>
      </c>
    </row>
    <row r="1165">
      <c r="A1165" s="10" t="n">
        <v>1164</v>
      </c>
      <c r="B1165" s="11" t="inlineStr">
        <is>
          <t>Dhaka-D (GEN-A)</t>
        </is>
      </c>
      <c r="C1165" s="11" t="inlineStr">
        <is>
          <t>Mr. Abu Sufian Alam</t>
        </is>
      </c>
      <c r="D1165" s="11" t="inlineStr">
        <is>
          <t>Dhaka GEN-A-8</t>
        </is>
      </c>
      <c r="E1165" s="11" t="inlineStr">
        <is>
          <t>Mohammad Rakib Hossain</t>
        </is>
      </c>
      <c r="F1165" s="10" t="n">
        <v>10483</v>
      </c>
      <c r="G1165" s="11" t="inlineStr">
        <is>
          <t>NICVD-Popular-5</t>
        </is>
      </c>
      <c r="H1165" s="10" t="n">
        <v>5965</v>
      </c>
      <c r="I1165" s="11" t="inlineStr">
        <is>
          <t>Md. Ashif Iqball</t>
        </is>
      </c>
      <c r="J1165" s="10">
        <f>IF(K1165&gt;0, "Completed", "Pending")</f>
        <v/>
      </c>
      <c r="K1165" s="10">
        <f>COUNTIF('Survey Responses'!F:F, F1165)</f>
        <v/>
      </c>
    </row>
    <row r="1166">
      <c r="A1166" s="10" t="n">
        <v>1165</v>
      </c>
      <c r="B1166" s="11" t="inlineStr">
        <is>
          <t>Dhaka-D (GEN-A)</t>
        </is>
      </c>
      <c r="C1166" s="11" t="inlineStr">
        <is>
          <t>Mr. Abu Sufian Alam</t>
        </is>
      </c>
      <c r="D1166" s="11" t="inlineStr">
        <is>
          <t>Dhaka GEN-A-8</t>
        </is>
      </c>
      <c r="E1166" s="11" t="inlineStr">
        <is>
          <t>Mohammad Rakib Hossain</t>
        </is>
      </c>
      <c r="F1166" s="10" t="n">
        <v>10481</v>
      </c>
      <c r="G1166" s="11" t="inlineStr">
        <is>
          <t>NICVD-Popular-6</t>
        </is>
      </c>
      <c r="H1166" s="10" t="n">
        <v>5127</v>
      </c>
      <c r="I1166" s="11" t="inlineStr">
        <is>
          <t>Mr. Hemel Sarker</t>
        </is>
      </c>
      <c r="J1166" s="10">
        <f>IF(K1166&gt;0, "Completed", "Pending")</f>
        <v/>
      </c>
      <c r="K1166" s="10">
        <f>COUNTIF('Survey Responses'!F:F, F1166)</f>
        <v/>
      </c>
    </row>
    <row r="1167">
      <c r="A1167" s="10" t="n">
        <v>1166</v>
      </c>
      <c r="B1167" s="11" t="inlineStr">
        <is>
          <t>Dhaka-D (GEN-A)</t>
        </is>
      </c>
      <c r="C1167" s="11" t="inlineStr">
        <is>
          <t>Mr. Abu Sufian Alam</t>
        </is>
      </c>
      <c r="D1167" s="11" t="inlineStr">
        <is>
          <t>Dhaka GEN-A-8</t>
        </is>
      </c>
      <c r="E1167" s="11" t="inlineStr">
        <is>
          <t>Mohammad Rakib Hossain</t>
        </is>
      </c>
      <c r="F1167" s="10" t="n">
        <v>14643</v>
      </c>
      <c r="G1167" s="11" t="inlineStr">
        <is>
          <t>NICVD-Popular-7</t>
        </is>
      </c>
      <c r="H1167" s="10" t="n">
        <v>8295</v>
      </c>
      <c r="I1167" s="11" t="inlineStr">
        <is>
          <t>Mr. Md. Abu Talha</t>
        </is>
      </c>
      <c r="J1167" s="10">
        <f>IF(K1167&gt;0, "Completed", "Pending")</f>
        <v/>
      </c>
      <c r="K1167" s="10">
        <f>COUNTIF('Survey Responses'!F:F, F1167)</f>
        <v/>
      </c>
    </row>
    <row r="1168">
      <c r="A1168" s="10" t="n">
        <v>1167</v>
      </c>
      <c r="B1168" s="11" t="inlineStr">
        <is>
          <t>Dhaka-D (GEN-A)</t>
        </is>
      </c>
      <c r="C1168" s="11" t="inlineStr">
        <is>
          <t>Mr. Abu Sufian Alam</t>
        </is>
      </c>
      <c r="D1168" s="11" t="inlineStr">
        <is>
          <t>Nowabgonj GEN-A-1</t>
        </is>
      </c>
      <c r="E1168" s="11" t="inlineStr">
        <is>
          <t>Mr. Md. Delwar Hossain Moral</t>
        </is>
      </c>
      <c r="F1168" s="10" t="n">
        <v>14890</v>
      </c>
      <c r="G1168" s="11" t="inlineStr">
        <is>
          <t>Bandura-1</t>
        </is>
      </c>
      <c r="H1168" s="10" t="n">
        <v>9058</v>
      </c>
      <c r="I1168" s="11" t="inlineStr">
        <is>
          <t>Mr. Md. Sajib Hasan</t>
        </is>
      </c>
      <c r="J1168" s="10">
        <f>IF(K1168&gt;0, "Completed", "Pending")</f>
        <v/>
      </c>
      <c r="K1168" s="10">
        <f>COUNTIF('Survey Responses'!F:F, F1168)</f>
        <v/>
      </c>
    </row>
    <row r="1169">
      <c r="A1169" s="10" t="n">
        <v>1168</v>
      </c>
      <c r="B1169" s="11" t="inlineStr">
        <is>
          <t>Dhaka-D (GEN-A)</t>
        </is>
      </c>
      <c r="C1169" s="11" t="inlineStr">
        <is>
          <t>Mr. Abu Sufian Alam</t>
        </is>
      </c>
      <c r="D1169" s="11" t="inlineStr">
        <is>
          <t>Nowabgonj GEN-A-1</t>
        </is>
      </c>
      <c r="E1169" s="11" t="inlineStr">
        <is>
          <t>Mr. Md. Delwar Hossain Moral</t>
        </is>
      </c>
      <c r="F1169" s="10" t="n">
        <v>10504</v>
      </c>
      <c r="G1169" s="11" t="inlineStr">
        <is>
          <t>Dohar-1</t>
        </is>
      </c>
      <c r="H1169" s="10" t="n">
        <v>1008</v>
      </c>
      <c r="I1169" s="11" t="inlineStr">
        <is>
          <t>Md. Reshedul Hassan</t>
        </is>
      </c>
      <c r="J1169" s="10">
        <f>IF(K1169&gt;0, "Completed", "Pending")</f>
        <v/>
      </c>
      <c r="K1169" s="10">
        <f>COUNTIF('Survey Responses'!F:F, F1169)</f>
        <v/>
      </c>
    </row>
    <row r="1170">
      <c r="A1170" s="10" t="n">
        <v>1169</v>
      </c>
      <c r="B1170" s="11" t="inlineStr">
        <is>
          <t>Dhaka-D (GEN-A)</t>
        </is>
      </c>
      <c r="C1170" s="11" t="inlineStr">
        <is>
          <t>Mr. Abu Sufian Alam</t>
        </is>
      </c>
      <c r="D1170" s="11" t="inlineStr">
        <is>
          <t>Nowabgonj GEN-A-1</t>
        </is>
      </c>
      <c r="E1170" s="11" t="inlineStr">
        <is>
          <t>Mr. Md. Delwar Hossain Moral</t>
        </is>
      </c>
      <c r="F1170" s="10" t="n">
        <v>10499</v>
      </c>
      <c r="G1170" s="11" t="inlineStr">
        <is>
          <t>Dohar-2</t>
        </is>
      </c>
      <c r="H1170" s="10" t="n">
        <v>2395</v>
      </c>
      <c r="I1170" s="11" t="inlineStr">
        <is>
          <t>Mr. Sheikh Toriqul Islam</t>
        </is>
      </c>
      <c r="J1170" s="10">
        <f>IF(K1170&gt;0, "Completed", "Pending")</f>
        <v/>
      </c>
      <c r="K1170" s="10">
        <f>COUNTIF('Survey Responses'!F:F, F1170)</f>
        <v/>
      </c>
    </row>
    <row r="1171">
      <c r="A1171" s="10" t="n">
        <v>1170</v>
      </c>
      <c r="B1171" s="11" t="inlineStr">
        <is>
          <t>Dhaka-D (GEN-A)</t>
        </is>
      </c>
      <c r="C1171" s="11" t="inlineStr">
        <is>
          <t>Mr. Abu Sufian Alam</t>
        </is>
      </c>
      <c r="D1171" s="11" t="inlineStr">
        <is>
          <t>Nowabgonj GEN-A-1</t>
        </is>
      </c>
      <c r="E1171" s="11" t="inlineStr">
        <is>
          <t>Mr. Md. Delwar Hossain Moral</t>
        </is>
      </c>
      <c r="F1171" s="10" t="n">
        <v>12665</v>
      </c>
      <c r="G1171" s="11" t="inlineStr">
        <is>
          <t>Dohar-3</t>
        </is>
      </c>
      <c r="H1171" s="10" t="n">
        <v>4140</v>
      </c>
      <c r="I1171" s="11" t="inlineStr">
        <is>
          <t>Mr. Rasa Munju</t>
        </is>
      </c>
      <c r="J1171" s="10">
        <f>IF(K1171&gt;0, "Completed", "Pending")</f>
        <v/>
      </c>
      <c r="K1171" s="10">
        <f>COUNTIF('Survey Responses'!F:F, F1171)</f>
        <v/>
      </c>
    </row>
    <row r="1172">
      <c r="A1172" s="10" t="n">
        <v>1171</v>
      </c>
      <c r="B1172" s="11" t="inlineStr">
        <is>
          <t>Dhaka-D (GEN-A)</t>
        </is>
      </c>
      <c r="C1172" s="11" t="inlineStr">
        <is>
          <t>Mr. Abu Sufian Alam</t>
        </is>
      </c>
      <c r="D1172" s="11" t="inlineStr">
        <is>
          <t>Nowabgonj GEN-A-1</t>
        </is>
      </c>
      <c r="E1172" s="11" t="inlineStr">
        <is>
          <t>Mr. Md. Delwar Hossain Moral</t>
        </is>
      </c>
      <c r="F1172" s="10" t="n">
        <v>10500</v>
      </c>
      <c r="G1172" s="11" t="inlineStr">
        <is>
          <t>Nowabgonj-1</t>
        </is>
      </c>
      <c r="H1172" s="10" t="n">
        <v>2168</v>
      </c>
      <c r="I1172" s="11" t="inlineStr">
        <is>
          <t xml:space="preserve">Md. Nazmul Hussain </t>
        </is>
      </c>
      <c r="J1172" s="10">
        <f>IF(K1172&gt;0, "Completed", "Pending")</f>
        <v/>
      </c>
      <c r="K1172" s="10">
        <f>COUNTIF('Survey Responses'!F:F, F1172)</f>
        <v/>
      </c>
    </row>
    <row r="1173">
      <c r="A1173" s="10" t="n">
        <v>1172</v>
      </c>
      <c r="B1173" s="11" t="inlineStr">
        <is>
          <t>Dhaka-D (GEN-A)</t>
        </is>
      </c>
      <c r="C1173" s="11" t="inlineStr">
        <is>
          <t>Mr. Abu Sufian Alam</t>
        </is>
      </c>
      <c r="D1173" s="11" t="inlineStr">
        <is>
          <t>Nowabgonj GEN-A-1</t>
        </is>
      </c>
      <c r="E1173" s="11" t="inlineStr">
        <is>
          <t>Mr. Md. Delwar Hossain Moral</t>
        </is>
      </c>
      <c r="F1173" s="10" t="n">
        <v>10503</v>
      </c>
      <c r="G1173" s="11" t="inlineStr">
        <is>
          <t>Nowabgonj-2</t>
        </is>
      </c>
      <c r="H1173" s="10" t="n">
        <v>1875</v>
      </c>
      <c r="I1173" s="11" t="inlineStr">
        <is>
          <t>Abdullah Al Noman</t>
        </is>
      </c>
      <c r="J1173" s="10">
        <f>IF(K1173&gt;0, "Completed", "Pending")</f>
        <v/>
      </c>
      <c r="K1173" s="10">
        <f>COUNTIF('Survey Responses'!F:F, F1173)</f>
        <v/>
      </c>
    </row>
    <row r="1174">
      <c r="A1174" s="10" t="n">
        <v>1173</v>
      </c>
      <c r="B1174" s="11" t="inlineStr">
        <is>
          <t>Dhaka-D (GEN-A)</t>
        </is>
      </c>
      <c r="C1174" s="11" t="inlineStr">
        <is>
          <t>Mr. Abu Sufian Alam</t>
        </is>
      </c>
      <c r="D1174" s="11" t="inlineStr">
        <is>
          <t>Nowabgonj GEN-A-1</t>
        </is>
      </c>
      <c r="E1174" s="11" t="inlineStr">
        <is>
          <t>Mr. Md. Delwar Hossain Moral</t>
        </is>
      </c>
      <c r="F1174" s="10" t="n">
        <v>10505</v>
      </c>
      <c r="G1174" s="11" t="inlineStr">
        <is>
          <t>Nowabgonj-3</t>
        </is>
      </c>
      <c r="H1174" s="10" t="n">
        <v>1818</v>
      </c>
      <c r="I1174" s="11" t="inlineStr">
        <is>
          <t>Md. Masud Rana</t>
        </is>
      </c>
      <c r="J1174" s="10">
        <f>IF(K1174&gt;0, "Completed", "Pending")</f>
        <v/>
      </c>
      <c r="K1174" s="10">
        <f>COUNTIF('Survey Responses'!F:F, F1174)</f>
        <v/>
      </c>
    </row>
    <row r="1175">
      <c r="A1175" s="10" t="n">
        <v>1174</v>
      </c>
      <c r="B1175" s="11" t="inlineStr">
        <is>
          <t>Narayangonj (GEN-A)</t>
        </is>
      </c>
      <c r="C1175" s="11" t="inlineStr">
        <is>
          <t>Mr. Harun-Or-Rashid</t>
        </is>
      </c>
      <c r="D1175" s="11" t="inlineStr">
        <is>
          <t>Madanpur GEN-A-1</t>
        </is>
      </c>
      <c r="E1175" s="11" t="inlineStr">
        <is>
          <t>Md. Kamruzzaman</t>
        </is>
      </c>
      <c r="F1175" s="10" t="n">
        <v>10598</v>
      </c>
      <c r="G1175" s="11" t="inlineStr">
        <is>
          <t>Chattogram Road-3</t>
        </is>
      </c>
      <c r="H1175" s="10" t="n">
        <v>1801</v>
      </c>
      <c r="I1175" s="11" t="inlineStr">
        <is>
          <t>Md. Atiur Rahman</t>
        </is>
      </c>
      <c r="J1175" s="10">
        <f>IF(K1175&gt;0, "Completed", "Pending")</f>
        <v/>
      </c>
      <c r="K1175" s="10">
        <f>COUNTIF('Survey Responses'!F:F, F1175)</f>
        <v/>
      </c>
    </row>
    <row r="1176">
      <c r="A1176" s="10" t="n">
        <v>1175</v>
      </c>
      <c r="B1176" s="11" t="inlineStr">
        <is>
          <t>Narayangonj (GEN-A)</t>
        </is>
      </c>
      <c r="C1176" s="11" t="inlineStr">
        <is>
          <t>Mr. Harun-Or-Rashid</t>
        </is>
      </c>
      <c r="D1176" s="11" t="inlineStr">
        <is>
          <t>Madanpur GEN-A-1</t>
        </is>
      </c>
      <c r="E1176" s="11" t="inlineStr">
        <is>
          <t>Md. Kamruzzaman</t>
        </is>
      </c>
      <c r="F1176" s="10" t="n">
        <v>10604</v>
      </c>
      <c r="G1176" s="11" t="inlineStr">
        <is>
          <t>Chattogram Road-6</t>
        </is>
      </c>
      <c r="H1176" s="10" t="n">
        <v>1658</v>
      </c>
      <c r="I1176" s="11" t="inlineStr">
        <is>
          <t>Md. Rahaj Ali</t>
        </is>
      </c>
      <c r="J1176" s="10">
        <f>IF(K1176&gt;0, "Completed", "Pending")</f>
        <v/>
      </c>
      <c r="K1176" s="10">
        <f>COUNTIF('Survey Responses'!F:F, F1176)</f>
        <v/>
      </c>
    </row>
    <row r="1177">
      <c r="A1177" s="10" t="n">
        <v>1176</v>
      </c>
      <c r="B1177" s="11" t="inlineStr">
        <is>
          <t>Narayangonj (GEN-A)</t>
        </is>
      </c>
      <c r="C1177" s="11" t="inlineStr">
        <is>
          <t>Mr. Harun-Or-Rashid</t>
        </is>
      </c>
      <c r="D1177" s="11" t="inlineStr">
        <is>
          <t>Madanpur GEN-A-1</t>
        </is>
      </c>
      <c r="E1177" s="11" t="inlineStr">
        <is>
          <t>Md. Kamruzzaman</t>
        </is>
      </c>
      <c r="F1177" s="10" t="n">
        <v>12592</v>
      </c>
      <c r="G1177" s="11" t="inlineStr">
        <is>
          <t>Chattogram Road-8</t>
        </is>
      </c>
      <c r="H1177" s="10" t="n">
        <v>5605</v>
      </c>
      <c r="I1177" s="11" t="inlineStr">
        <is>
          <t>Mr. Mirazul Islam</t>
        </is>
      </c>
      <c r="J1177" s="10">
        <f>IF(K1177&gt;0, "Completed", "Pending")</f>
        <v/>
      </c>
      <c r="K1177" s="10">
        <f>COUNTIF('Survey Responses'!F:F, F1177)</f>
        <v/>
      </c>
    </row>
    <row r="1178">
      <c r="A1178" s="10" t="n">
        <v>1177</v>
      </c>
      <c r="B1178" s="11" t="inlineStr">
        <is>
          <t>Narayangonj (GEN-A)</t>
        </is>
      </c>
      <c r="C1178" s="11" t="inlineStr">
        <is>
          <t>Mr. Harun-Or-Rashid</t>
        </is>
      </c>
      <c r="D1178" s="11" t="inlineStr">
        <is>
          <t>Madanpur GEN-A-1</t>
        </is>
      </c>
      <c r="E1178" s="11" t="inlineStr">
        <is>
          <t>Md. Kamruzzaman</t>
        </is>
      </c>
      <c r="F1178" s="10" t="n">
        <v>13624</v>
      </c>
      <c r="G1178" s="11" t="inlineStr">
        <is>
          <t>Chattogram Road-9</t>
        </is>
      </c>
      <c r="H1178" s="10" t="n">
        <v>7311</v>
      </c>
      <c r="I1178" s="11" t="inlineStr">
        <is>
          <t>Mr. Md. Mamun Hossain</t>
        </is>
      </c>
      <c r="J1178" s="10">
        <f>IF(K1178&gt;0, "Completed", "Pending")</f>
        <v/>
      </c>
      <c r="K1178" s="10">
        <f>COUNTIF('Survey Responses'!F:F, F1178)</f>
        <v/>
      </c>
    </row>
    <row r="1179">
      <c r="A1179" s="10" t="n">
        <v>1178</v>
      </c>
      <c r="B1179" s="11" t="inlineStr">
        <is>
          <t>Narayangonj (GEN-A)</t>
        </is>
      </c>
      <c r="C1179" s="11" t="inlineStr">
        <is>
          <t>Mr. Harun-Or-Rashid</t>
        </is>
      </c>
      <c r="D1179" s="11" t="inlineStr">
        <is>
          <t>Madanpur GEN-A-1</t>
        </is>
      </c>
      <c r="E1179" s="11" t="inlineStr">
        <is>
          <t>Md. Kamruzzaman</t>
        </is>
      </c>
      <c r="F1179" s="10" t="n">
        <v>10535</v>
      </c>
      <c r="G1179" s="11" t="inlineStr">
        <is>
          <t>Madanpur-1</t>
        </is>
      </c>
      <c r="H1179" s="10" t="n">
        <v>664</v>
      </c>
      <c r="I1179" s="11" t="inlineStr">
        <is>
          <t xml:space="preserve">Mohammad Ershadul Haque       </t>
        </is>
      </c>
      <c r="J1179" s="10">
        <f>IF(K1179&gt;0, "Completed", "Pending")</f>
        <v/>
      </c>
      <c r="K1179" s="10">
        <f>COUNTIF('Survey Responses'!F:F, F1179)</f>
        <v/>
      </c>
    </row>
    <row r="1180">
      <c r="A1180" s="10" t="n">
        <v>1179</v>
      </c>
      <c r="B1180" s="11" t="inlineStr">
        <is>
          <t>Narayangonj (GEN-A)</t>
        </is>
      </c>
      <c r="C1180" s="11" t="inlineStr">
        <is>
          <t>Mr. Harun-Or-Rashid</t>
        </is>
      </c>
      <c r="D1180" s="11" t="inlineStr">
        <is>
          <t>Madanpur GEN-A-1</t>
        </is>
      </c>
      <c r="E1180" s="11" t="inlineStr">
        <is>
          <t>Md. Kamruzzaman</t>
        </is>
      </c>
      <c r="F1180" s="10" t="n">
        <v>10536</v>
      </c>
      <c r="G1180" s="11" t="inlineStr">
        <is>
          <t>Madanpur-2</t>
        </is>
      </c>
      <c r="H1180" s="10" t="n">
        <v>1386</v>
      </c>
      <c r="I1180" s="11" t="inlineStr">
        <is>
          <t>Md. Shamibul Islam</t>
        </is>
      </c>
      <c r="J1180" s="10">
        <f>IF(K1180&gt;0, "Completed", "Pending")</f>
        <v/>
      </c>
      <c r="K1180" s="10">
        <f>COUNTIF('Survey Responses'!F:F, F1180)</f>
        <v/>
      </c>
    </row>
    <row r="1181">
      <c r="A1181" s="10" t="n">
        <v>1180</v>
      </c>
      <c r="B1181" s="11" t="inlineStr">
        <is>
          <t>Narayangonj (GEN-A)</t>
        </is>
      </c>
      <c r="C1181" s="11" t="inlineStr">
        <is>
          <t>Mr. Harun-Or-Rashid</t>
        </is>
      </c>
      <c r="D1181" s="11" t="inlineStr">
        <is>
          <t>Madanpur GEN-A-1</t>
        </is>
      </c>
      <c r="E1181" s="11" t="inlineStr">
        <is>
          <t>Md. Kamruzzaman</t>
        </is>
      </c>
      <c r="F1181" s="10" t="n">
        <v>12330</v>
      </c>
      <c r="G1181" s="11" t="inlineStr">
        <is>
          <t>Madanpur-3</t>
        </is>
      </c>
      <c r="H1181" s="10" t="n">
        <v>3701</v>
      </c>
      <c r="I1181" s="11" t="inlineStr">
        <is>
          <t>Mr. Md. Ruhul Amin</t>
        </is>
      </c>
      <c r="J1181" s="10">
        <f>IF(K1181&gt;0, "Completed", "Pending")</f>
        <v/>
      </c>
      <c r="K1181" s="10">
        <f>COUNTIF('Survey Responses'!F:F, F1181)</f>
        <v/>
      </c>
    </row>
    <row r="1182">
      <c r="A1182" s="10" t="n">
        <v>1181</v>
      </c>
      <c r="B1182" s="11" t="inlineStr">
        <is>
          <t>Narayangonj (GEN-A)</t>
        </is>
      </c>
      <c r="C1182" s="11" t="inlineStr">
        <is>
          <t>Mr. Harun-Or-Rashid</t>
        </is>
      </c>
      <c r="D1182" s="11" t="inlineStr">
        <is>
          <t>Narayangonj GEN-A-1</t>
        </is>
      </c>
      <c r="E1182" s="11" t="inlineStr">
        <is>
          <t>Md. Nurunnabi Sarkar</t>
        </is>
      </c>
      <c r="F1182" s="10" t="n">
        <v>12667</v>
      </c>
      <c r="G1182" s="11" t="inlineStr">
        <is>
          <t>Deobhog-1</t>
        </is>
      </c>
      <c r="H1182" s="10" t="n">
        <v>4144</v>
      </c>
      <c r="I1182" s="11" t="inlineStr">
        <is>
          <t>Mr. SR Rana Ahammed</t>
        </is>
      </c>
      <c r="J1182" s="10">
        <f>IF(K1182&gt;0, "Completed", "Pending")</f>
        <v/>
      </c>
      <c r="K1182" s="10">
        <f>COUNTIF('Survey Responses'!F:F, F1182)</f>
        <v/>
      </c>
    </row>
    <row r="1183">
      <c r="A1183" s="10" t="n">
        <v>1182</v>
      </c>
      <c r="B1183" s="11" t="inlineStr">
        <is>
          <t>Narayangonj (GEN-A)</t>
        </is>
      </c>
      <c r="C1183" s="11" t="inlineStr">
        <is>
          <t>Mr. Harun-Or-Rashid</t>
        </is>
      </c>
      <c r="D1183" s="11" t="inlineStr">
        <is>
          <t>Narayangonj GEN-A-1</t>
        </is>
      </c>
      <c r="E1183" s="11" t="inlineStr">
        <is>
          <t>Md. Nurunnabi Sarkar</t>
        </is>
      </c>
      <c r="F1183" s="10" t="n">
        <v>10524</v>
      </c>
      <c r="G1183" s="11" t="inlineStr">
        <is>
          <t>N.Gonj (Shibu Market)</t>
        </is>
      </c>
      <c r="H1183" s="10" t="n">
        <v>1746</v>
      </c>
      <c r="I1183" s="11" t="inlineStr">
        <is>
          <t>Md. Zakirul Islam</t>
        </is>
      </c>
      <c r="J1183" s="10">
        <f>IF(K1183&gt;0, "Completed", "Pending")</f>
        <v/>
      </c>
      <c r="K1183" s="10">
        <f>COUNTIF('Survey Responses'!F:F, F1183)</f>
        <v/>
      </c>
    </row>
    <row r="1184">
      <c r="A1184" s="10" t="n">
        <v>1183</v>
      </c>
      <c r="B1184" s="11" t="inlineStr">
        <is>
          <t>Narayangonj (GEN-A)</t>
        </is>
      </c>
      <c r="C1184" s="11" t="inlineStr">
        <is>
          <t>Mr. Harun-Or-Rashid</t>
        </is>
      </c>
      <c r="D1184" s="11" t="inlineStr">
        <is>
          <t>Narayangonj GEN-A-1</t>
        </is>
      </c>
      <c r="E1184" s="11" t="inlineStr">
        <is>
          <t>Md. Nurunnabi Sarkar</t>
        </is>
      </c>
      <c r="F1184" s="10" t="n">
        <v>10507</v>
      </c>
      <c r="G1184" s="11" t="inlineStr">
        <is>
          <t>Narayangonj-1</t>
        </is>
      </c>
      <c r="H1184" s="10" t="n">
        <v>5130</v>
      </c>
      <c r="I1184" s="11" t="inlineStr">
        <is>
          <t>Mr. Md. Arif Khan</t>
        </is>
      </c>
      <c r="J1184" s="10">
        <f>IF(K1184&gt;0, "Completed", "Pending")</f>
        <v/>
      </c>
      <c r="K1184" s="10">
        <f>COUNTIF('Survey Responses'!F:F, F1184)</f>
        <v/>
      </c>
    </row>
    <row r="1185">
      <c r="A1185" s="10" t="n">
        <v>1184</v>
      </c>
      <c r="B1185" s="11" t="inlineStr">
        <is>
          <t>Narayangonj (GEN-A)</t>
        </is>
      </c>
      <c r="C1185" s="11" t="inlineStr">
        <is>
          <t>Mr. Harun-Or-Rashid</t>
        </is>
      </c>
      <c r="D1185" s="11" t="inlineStr">
        <is>
          <t>Narayangonj GEN-A-1</t>
        </is>
      </c>
      <c r="E1185" s="11" t="inlineStr">
        <is>
          <t>Md. Nurunnabi Sarkar</t>
        </is>
      </c>
      <c r="F1185" s="10" t="n">
        <v>14078</v>
      </c>
      <c r="G1185" s="11" t="inlineStr">
        <is>
          <t>Narayangonj-12</t>
        </is>
      </c>
      <c r="H1185" s="10" t="n">
        <v>1519</v>
      </c>
      <c r="I1185" s="11" t="inlineStr">
        <is>
          <t>Md. Harun-ar-Rashid</t>
        </is>
      </c>
      <c r="J1185" s="10">
        <f>IF(K1185&gt;0, "Completed", "Pending")</f>
        <v/>
      </c>
      <c r="K1185" s="10">
        <f>COUNTIF('Survey Responses'!F:F, F1185)</f>
        <v/>
      </c>
    </row>
    <row r="1186">
      <c r="A1186" s="10" t="n">
        <v>1185</v>
      </c>
      <c r="B1186" s="11" t="inlineStr">
        <is>
          <t>Narayangonj (GEN-A)</t>
        </is>
      </c>
      <c r="C1186" s="11" t="inlineStr">
        <is>
          <t>Mr. Harun-Or-Rashid</t>
        </is>
      </c>
      <c r="D1186" s="11" t="inlineStr">
        <is>
          <t>Narayangonj GEN-A-1</t>
        </is>
      </c>
      <c r="E1186" s="11" t="inlineStr">
        <is>
          <t>Md. Nurunnabi Sarkar</t>
        </is>
      </c>
      <c r="F1186" s="10" t="n">
        <v>10511</v>
      </c>
      <c r="G1186" s="11" t="inlineStr">
        <is>
          <t>Narayangonj-4</t>
        </is>
      </c>
      <c r="H1186" s="10" t="n">
        <v>3937</v>
      </c>
      <c r="I1186" s="11" t="inlineStr">
        <is>
          <t>Mr. M.A. Raihan</t>
        </is>
      </c>
      <c r="J1186" s="10">
        <f>IF(K1186&gt;0, "Completed", "Pending")</f>
        <v/>
      </c>
      <c r="K1186" s="10">
        <f>COUNTIF('Survey Responses'!F:F, F1186)</f>
        <v/>
      </c>
    </row>
    <row r="1187">
      <c r="A1187" s="10" t="n">
        <v>1186</v>
      </c>
      <c r="B1187" s="11" t="inlineStr">
        <is>
          <t>Narayangonj (GEN-A)</t>
        </is>
      </c>
      <c r="C1187" s="11" t="inlineStr">
        <is>
          <t>Mr. Harun-Or-Rashid</t>
        </is>
      </c>
      <c r="D1187" s="11" t="inlineStr">
        <is>
          <t>Narayangonj GEN-A-1</t>
        </is>
      </c>
      <c r="E1187" s="11" t="inlineStr">
        <is>
          <t>Md. Nurunnabi Sarkar</t>
        </is>
      </c>
      <c r="F1187" s="10" t="n">
        <v>10506</v>
      </c>
      <c r="G1187" s="11" t="inlineStr">
        <is>
          <t>Narayangonj-6</t>
        </is>
      </c>
      <c r="H1187" s="10" t="n">
        <v>8406</v>
      </c>
      <c r="I1187" s="11" t="inlineStr">
        <is>
          <t>Mr. Md. Apel Mahmud</t>
        </is>
      </c>
      <c r="J1187" s="10">
        <f>IF(K1187&gt;0, "Completed", "Pending")</f>
        <v/>
      </c>
      <c r="K1187" s="10">
        <f>COUNTIF('Survey Responses'!F:F, F1187)</f>
        <v/>
      </c>
    </row>
    <row r="1188">
      <c r="A1188" s="10" t="n">
        <v>1187</v>
      </c>
      <c r="B1188" s="11" t="inlineStr">
        <is>
          <t>Narayangonj (GEN-A)</t>
        </is>
      </c>
      <c r="C1188" s="11" t="inlineStr">
        <is>
          <t>Mr. Harun-Or-Rashid</t>
        </is>
      </c>
      <c r="D1188" s="11" t="inlineStr">
        <is>
          <t>Narayangonj GEN-A-1</t>
        </is>
      </c>
      <c r="E1188" s="11" t="inlineStr">
        <is>
          <t>Md. Nurunnabi Sarkar</t>
        </is>
      </c>
      <c r="F1188" s="10" t="n">
        <v>10510</v>
      </c>
      <c r="G1188" s="11" t="inlineStr">
        <is>
          <t>Narayangonj-9</t>
        </is>
      </c>
      <c r="H1188" s="10" t="n">
        <v>1676</v>
      </c>
      <c r="I1188" s="11" t="inlineStr">
        <is>
          <t>Md. Abdus Samad</t>
        </is>
      </c>
      <c r="J1188" s="10">
        <f>IF(K1188&gt;0, "Completed", "Pending")</f>
        <v/>
      </c>
      <c r="K1188" s="10">
        <f>COUNTIF('Survey Responses'!F:F, F1188)</f>
        <v/>
      </c>
    </row>
    <row r="1189">
      <c r="A1189" s="10" t="n">
        <v>1188</v>
      </c>
      <c r="B1189" s="11" t="inlineStr">
        <is>
          <t>Narayangonj (GEN-A)</t>
        </is>
      </c>
      <c r="C1189" s="11" t="inlineStr">
        <is>
          <t>Mr. Harun-Or-Rashid</t>
        </is>
      </c>
      <c r="D1189" s="11" t="inlineStr">
        <is>
          <t>Narayangonj GEN-A-1</t>
        </is>
      </c>
      <c r="E1189" s="11" t="inlineStr">
        <is>
          <t>Md. Nurunnabi Sarkar</t>
        </is>
      </c>
      <c r="F1189" s="10" t="n">
        <v>10512</v>
      </c>
      <c r="G1189" s="11" t="inlineStr">
        <is>
          <t>Panchaboti</t>
        </is>
      </c>
      <c r="H1189" s="10" t="n">
        <v>1899</v>
      </c>
      <c r="I1189" s="11" t="inlineStr">
        <is>
          <t>Shahinoor Rahman</t>
        </is>
      </c>
      <c r="J1189" s="10">
        <f>IF(K1189&gt;0, "Completed", "Pending")</f>
        <v/>
      </c>
      <c r="K1189" s="10">
        <f>COUNTIF('Survey Responses'!F:F, F1189)</f>
        <v/>
      </c>
    </row>
    <row r="1190">
      <c r="A1190" s="10" t="n">
        <v>1189</v>
      </c>
      <c r="B1190" s="11" t="inlineStr">
        <is>
          <t>Narayangonj (GEN-A)</t>
        </is>
      </c>
      <c r="C1190" s="11" t="inlineStr">
        <is>
          <t>Mr. Harun-Or-Rashid</t>
        </is>
      </c>
      <c r="D1190" s="11" t="inlineStr">
        <is>
          <t>Narayangonj GEN-A-2</t>
        </is>
      </c>
      <c r="E1190" s="11" t="inlineStr">
        <is>
          <t>Mr. Subhash Chandra Das</t>
        </is>
      </c>
      <c r="F1190" s="10" t="n">
        <v>10509</v>
      </c>
      <c r="G1190" s="11" t="inlineStr">
        <is>
          <t>Adamji-1</t>
        </is>
      </c>
      <c r="H1190" s="10" t="n">
        <v>2082</v>
      </c>
      <c r="I1190" s="11" t="inlineStr">
        <is>
          <t>Md. Ranar Uddin Sarker</t>
        </is>
      </c>
      <c r="J1190" s="10">
        <f>IF(K1190&gt;0, "Completed", "Pending")</f>
        <v/>
      </c>
      <c r="K1190" s="10">
        <f>COUNTIF('Survey Responses'!F:F, F1190)</f>
        <v/>
      </c>
    </row>
    <row r="1191">
      <c r="A1191" s="10" t="n">
        <v>1190</v>
      </c>
      <c r="B1191" s="11" t="inlineStr">
        <is>
          <t>Narayangonj (GEN-A)</t>
        </is>
      </c>
      <c r="C1191" s="11" t="inlineStr">
        <is>
          <t>Mr. Harun-Or-Rashid</t>
        </is>
      </c>
      <c r="D1191" s="11" t="inlineStr">
        <is>
          <t>Narayangonj GEN-A-2</t>
        </is>
      </c>
      <c r="E1191" s="11" t="inlineStr">
        <is>
          <t>Mr. Subhash Chandra Das</t>
        </is>
      </c>
      <c r="F1191" s="10" t="n">
        <v>12545</v>
      </c>
      <c r="G1191" s="11" t="inlineStr">
        <is>
          <t>Adamji-2</t>
        </is>
      </c>
      <c r="H1191" s="10" t="n">
        <v>6822</v>
      </c>
      <c r="I1191" s="11" t="inlineStr">
        <is>
          <t>Mr. Md. Abdul Zabbar</t>
        </is>
      </c>
      <c r="J1191" s="10">
        <f>IF(K1191&gt;0, "Completed", "Pending")</f>
        <v/>
      </c>
      <c r="K1191" s="10">
        <f>COUNTIF('Survey Responses'!F:F, F1191)</f>
        <v/>
      </c>
    </row>
    <row r="1192">
      <c r="A1192" s="10" t="n">
        <v>1191</v>
      </c>
      <c r="B1192" s="11" t="inlineStr">
        <is>
          <t>Narayangonj (GEN-A)</t>
        </is>
      </c>
      <c r="C1192" s="11" t="inlineStr">
        <is>
          <t>Mr. Harun-Or-Rashid</t>
        </is>
      </c>
      <c r="D1192" s="11" t="inlineStr">
        <is>
          <t>Narayangonj GEN-A-2</t>
        </is>
      </c>
      <c r="E1192" s="11" t="inlineStr">
        <is>
          <t>Mr. Subhash Chandra Das</t>
        </is>
      </c>
      <c r="F1192" s="10" t="n">
        <v>10599</v>
      </c>
      <c r="G1192" s="11" t="inlineStr">
        <is>
          <t>Chattogram Road-1</t>
        </is>
      </c>
      <c r="H1192" s="10" t="n">
        <v>5129</v>
      </c>
      <c r="I1192" s="11" t="inlineStr">
        <is>
          <t>Mr. Md. Zasim Uddin</t>
        </is>
      </c>
      <c r="J1192" s="10">
        <f>IF(K1192&gt;0, "Completed", "Pending")</f>
        <v/>
      </c>
      <c r="K1192" s="10">
        <f>COUNTIF('Survey Responses'!F:F, F1192)</f>
        <v/>
      </c>
    </row>
    <row r="1193">
      <c r="A1193" s="10" t="n">
        <v>1192</v>
      </c>
      <c r="B1193" s="11" t="inlineStr">
        <is>
          <t>Narayangonj (GEN-A)</t>
        </is>
      </c>
      <c r="C1193" s="11" t="inlineStr">
        <is>
          <t>Mr. Harun-Or-Rashid</t>
        </is>
      </c>
      <c r="D1193" s="11" t="inlineStr">
        <is>
          <t>Narayangonj GEN-A-2</t>
        </is>
      </c>
      <c r="E1193" s="11" t="inlineStr">
        <is>
          <t>Mr. Subhash Chandra Das</t>
        </is>
      </c>
      <c r="F1193" s="10" t="n">
        <v>10518</v>
      </c>
      <c r="G1193" s="11" t="inlineStr">
        <is>
          <t>N.Gonj (Medinova)</t>
        </is>
      </c>
      <c r="H1193" s="10" t="n">
        <v>6165</v>
      </c>
      <c r="I1193" s="11" t="inlineStr">
        <is>
          <t>Mr. Atikur Rahman</t>
        </is>
      </c>
      <c r="J1193" s="10">
        <f>IF(K1193&gt;0, "Completed", "Pending")</f>
        <v/>
      </c>
      <c r="K1193" s="10">
        <f>COUNTIF('Survey Responses'!F:F, F1193)</f>
        <v/>
      </c>
    </row>
    <row r="1194">
      <c r="A1194" s="10" t="n">
        <v>1193</v>
      </c>
      <c r="B1194" s="11" t="inlineStr">
        <is>
          <t>Narayangonj (GEN-A)</t>
        </is>
      </c>
      <c r="C1194" s="11" t="inlineStr">
        <is>
          <t>Mr. Harun-Or-Rashid</t>
        </is>
      </c>
      <c r="D1194" s="11" t="inlineStr">
        <is>
          <t>Narayangonj GEN-A-2</t>
        </is>
      </c>
      <c r="E1194" s="11" t="inlineStr">
        <is>
          <t>Mr. Subhash Chandra Das</t>
        </is>
      </c>
      <c r="F1194" s="10" t="n">
        <v>13083</v>
      </c>
      <c r="G1194" s="11" t="inlineStr">
        <is>
          <t>Narayangonj-11</t>
        </is>
      </c>
      <c r="H1194" s="10" t="n">
        <v>5448</v>
      </c>
      <c r="I1194" s="11" t="inlineStr">
        <is>
          <t>Mr. Rana Ahmed</t>
        </is>
      </c>
      <c r="J1194" s="10">
        <f>IF(K1194&gt;0, "Completed", "Pending")</f>
        <v/>
      </c>
      <c r="K1194" s="10">
        <f>COUNTIF('Survey Responses'!F:F, F1194)</f>
        <v/>
      </c>
    </row>
    <row r="1195">
      <c r="A1195" s="10" t="n">
        <v>1194</v>
      </c>
      <c r="B1195" s="11" t="inlineStr">
        <is>
          <t>Narayangonj (GEN-A)</t>
        </is>
      </c>
      <c r="C1195" s="11" t="inlineStr">
        <is>
          <t>Mr. Harun-Or-Rashid</t>
        </is>
      </c>
      <c r="D1195" s="11" t="inlineStr">
        <is>
          <t>Narayangonj GEN-A-2</t>
        </is>
      </c>
      <c r="E1195" s="11" t="inlineStr">
        <is>
          <t>Mr. Subhash Chandra Das</t>
        </is>
      </c>
      <c r="F1195" s="10" t="n">
        <v>10513</v>
      </c>
      <c r="G1195" s="11" t="inlineStr">
        <is>
          <t>Narayangonj-7</t>
        </is>
      </c>
      <c r="H1195" s="10" t="n">
        <v>3193</v>
      </c>
      <c r="I1195" s="11" t="inlineStr">
        <is>
          <t>Md. Anisur Rahman</t>
        </is>
      </c>
      <c r="J1195" s="10">
        <f>IF(K1195&gt;0, "Completed", "Pending")</f>
        <v/>
      </c>
      <c r="K1195" s="10">
        <f>COUNTIF('Survey Responses'!F:F, F1195)</f>
        <v/>
      </c>
    </row>
    <row r="1196">
      <c r="A1196" s="10" t="n">
        <v>1195</v>
      </c>
      <c r="B1196" s="11" t="inlineStr">
        <is>
          <t>Narayangonj (GEN-A)</t>
        </is>
      </c>
      <c r="C1196" s="11" t="inlineStr">
        <is>
          <t>Mr. Harun-Or-Rashid</t>
        </is>
      </c>
      <c r="D1196" s="11" t="inlineStr">
        <is>
          <t>Narayangonj GEN-A-2</t>
        </is>
      </c>
      <c r="E1196" s="11" t="inlineStr">
        <is>
          <t>Mr. Subhash Chandra Das</t>
        </is>
      </c>
      <c r="F1196" s="10" t="n">
        <v>10515</v>
      </c>
      <c r="G1196" s="11" t="inlineStr">
        <is>
          <t>Narayangonj-8</t>
        </is>
      </c>
      <c r="H1196" s="10" t="n">
        <v>1639</v>
      </c>
      <c r="I1196" s="11" t="inlineStr">
        <is>
          <t>Md. Abu Bakar Siddik</t>
        </is>
      </c>
      <c r="J1196" s="10">
        <f>IF(K1196&gt;0, "Completed", "Pending")</f>
        <v/>
      </c>
      <c r="K1196" s="10">
        <f>COUNTIF('Survey Responses'!F:F, F1196)</f>
        <v/>
      </c>
    </row>
    <row r="1197">
      <c r="A1197" s="10" t="n">
        <v>1196</v>
      </c>
      <c r="B1197" s="11" t="inlineStr">
        <is>
          <t>Narayangonj (GEN-A)</t>
        </is>
      </c>
      <c r="C1197" s="11" t="inlineStr">
        <is>
          <t>Mr. Harun-Or-Rashid</t>
        </is>
      </c>
      <c r="D1197" s="11" t="inlineStr">
        <is>
          <t>Narayangonj GEN-A-3</t>
        </is>
      </c>
      <c r="E1197" s="11" t="inlineStr">
        <is>
          <t>Bulbul Ahmed</t>
        </is>
      </c>
      <c r="F1197" s="10" t="n">
        <v>10521</v>
      </c>
      <c r="G1197" s="11" t="inlineStr">
        <is>
          <t>Fatullah-1</t>
        </is>
      </c>
      <c r="H1197" s="10" t="n">
        <v>5047</v>
      </c>
      <c r="I1197" s="11" t="inlineStr">
        <is>
          <t>Mr. Md. Zahurul Islam</t>
        </is>
      </c>
      <c r="J1197" s="10">
        <f>IF(K1197&gt;0, "Completed", "Pending")</f>
        <v/>
      </c>
      <c r="K1197" s="10">
        <f>COUNTIF('Survey Responses'!F:F, F1197)</f>
        <v/>
      </c>
    </row>
    <row r="1198">
      <c r="A1198" s="10" t="n">
        <v>1197</v>
      </c>
      <c r="B1198" s="11" t="inlineStr">
        <is>
          <t>Narayangonj (GEN-A)</t>
        </is>
      </c>
      <c r="C1198" s="11" t="inlineStr">
        <is>
          <t>Mr. Harun-Or-Rashid</t>
        </is>
      </c>
      <c r="D1198" s="11" t="inlineStr">
        <is>
          <t>Narayangonj GEN-A-3</t>
        </is>
      </c>
      <c r="E1198" s="11" t="inlineStr">
        <is>
          <t>Bulbul Ahmed</t>
        </is>
      </c>
      <c r="F1198" s="10" t="n">
        <v>10522</v>
      </c>
      <c r="G1198" s="11" t="inlineStr">
        <is>
          <t>Fatullah-2</t>
        </is>
      </c>
      <c r="H1198" s="10" t="n">
        <v>5449</v>
      </c>
      <c r="I1198" s="11" t="inlineStr">
        <is>
          <t>Mr. Md. Shamim Hasan</t>
        </is>
      </c>
      <c r="J1198" s="10">
        <f>IF(K1198&gt;0, "Completed", "Pending")</f>
        <v/>
      </c>
      <c r="K1198" s="10">
        <f>COUNTIF('Survey Responses'!F:F, F1198)</f>
        <v/>
      </c>
    </row>
    <row r="1199">
      <c r="A1199" s="10" t="n">
        <v>1198</v>
      </c>
      <c r="B1199" s="11" t="inlineStr">
        <is>
          <t>Narayangonj (GEN-A)</t>
        </is>
      </c>
      <c r="C1199" s="11" t="inlineStr">
        <is>
          <t>Mr. Harun-Or-Rashid</t>
        </is>
      </c>
      <c r="D1199" s="11" t="inlineStr">
        <is>
          <t>Narayangonj GEN-A-3</t>
        </is>
      </c>
      <c r="E1199" s="11" t="inlineStr">
        <is>
          <t>Bulbul Ahmed</t>
        </is>
      </c>
      <c r="F1199" s="10" t="n">
        <v>12274</v>
      </c>
      <c r="G1199" s="11" t="inlineStr">
        <is>
          <t>Fatullah-3</t>
        </is>
      </c>
      <c r="H1199" s="10" t="n">
        <v>3653</v>
      </c>
      <c r="I1199" s="11" t="inlineStr">
        <is>
          <t>Mr. Md. Mijanur Rahman</t>
        </is>
      </c>
      <c r="J1199" s="10">
        <f>IF(K1199&gt;0, "Completed", "Pending")</f>
        <v/>
      </c>
      <c r="K1199" s="10">
        <f>COUNTIF('Survey Responses'!F:F, F1199)</f>
        <v/>
      </c>
    </row>
    <row r="1200">
      <c r="A1200" s="10" t="n">
        <v>1199</v>
      </c>
      <c r="B1200" s="11" t="inlineStr">
        <is>
          <t>Narayangonj (GEN-A)</t>
        </is>
      </c>
      <c r="C1200" s="11" t="inlineStr">
        <is>
          <t>Mr. Harun-Or-Rashid</t>
        </is>
      </c>
      <c r="D1200" s="11" t="inlineStr">
        <is>
          <t>Narayangonj GEN-A-3</t>
        </is>
      </c>
      <c r="E1200" s="11" t="inlineStr">
        <is>
          <t>Bulbul Ahmed</t>
        </is>
      </c>
      <c r="F1200" s="10" t="n">
        <v>12546</v>
      </c>
      <c r="G1200" s="11" t="inlineStr">
        <is>
          <t>Jalkuri-1</t>
        </is>
      </c>
      <c r="H1200" s="10" t="n">
        <v>3934</v>
      </c>
      <c r="I1200" s="11" t="inlineStr">
        <is>
          <t>Mr. Md. Rabiul Islam</t>
        </is>
      </c>
      <c r="J1200" s="10">
        <f>IF(K1200&gt;0, "Completed", "Pending")</f>
        <v/>
      </c>
      <c r="K1200" s="10">
        <f>COUNTIF('Survey Responses'!F:F, F1200)</f>
        <v/>
      </c>
    </row>
    <row r="1201">
      <c r="A1201" s="10" t="n">
        <v>1200</v>
      </c>
      <c r="B1201" s="11" t="inlineStr">
        <is>
          <t>Narayangonj (GEN-A)</t>
        </is>
      </c>
      <c r="C1201" s="11" t="inlineStr">
        <is>
          <t>Mr. Harun-Or-Rashid</t>
        </is>
      </c>
      <c r="D1201" s="11" t="inlineStr">
        <is>
          <t>Narayangonj GEN-A-3</t>
        </is>
      </c>
      <c r="E1201" s="11" t="inlineStr">
        <is>
          <t>Bulbul Ahmed</t>
        </is>
      </c>
      <c r="F1201" s="10" t="n">
        <v>10523</v>
      </c>
      <c r="G1201" s="11" t="inlineStr">
        <is>
          <t>Pagla</t>
        </is>
      </c>
      <c r="H1201" s="10" t="n">
        <v>2110</v>
      </c>
      <c r="I1201" s="11" t="inlineStr">
        <is>
          <t>Md. Mominoor Rahman Sarker</t>
        </is>
      </c>
      <c r="J1201" s="10">
        <f>IF(K1201&gt;0, "Completed", "Pending")</f>
        <v/>
      </c>
      <c r="K1201" s="10">
        <f>COUNTIF('Survey Responses'!F:F, F1201)</f>
        <v/>
      </c>
    </row>
    <row r="1202">
      <c r="A1202" s="10" t="n">
        <v>1201</v>
      </c>
      <c r="B1202" s="11" t="inlineStr">
        <is>
          <t>Narayangonj (GEN-A)</t>
        </is>
      </c>
      <c r="C1202" s="11" t="inlineStr">
        <is>
          <t>Mr. Harun-Or-Rashid</t>
        </is>
      </c>
      <c r="D1202" s="11" t="inlineStr">
        <is>
          <t>Narayangonj GEN-A-3</t>
        </is>
      </c>
      <c r="E1202" s="11" t="inlineStr">
        <is>
          <t>Bulbul Ahmed</t>
        </is>
      </c>
      <c r="F1202" s="10" t="n">
        <v>12272</v>
      </c>
      <c r="G1202" s="11" t="inlineStr">
        <is>
          <t>Shirajdikhan-2</t>
        </is>
      </c>
      <c r="H1202" s="10" t="n">
        <v>1921</v>
      </c>
      <c r="I1202" s="11" t="inlineStr">
        <is>
          <t>Md. Selim Reza</t>
        </is>
      </c>
      <c r="J1202" s="10">
        <f>IF(K1202&gt;0, "Completed", "Pending")</f>
        <v/>
      </c>
      <c r="K1202" s="10">
        <f>COUNTIF('Survey Responses'!F:F, F1202)</f>
        <v/>
      </c>
    </row>
    <row r="1203">
      <c r="A1203" s="10" t="n">
        <v>1202</v>
      </c>
      <c r="B1203" s="11" t="inlineStr">
        <is>
          <t>Narayangonj (GEN-A)</t>
        </is>
      </c>
      <c r="C1203" s="11" t="inlineStr">
        <is>
          <t>Mr. Harun-Or-Rashid</t>
        </is>
      </c>
      <c r="D1203" s="11" t="inlineStr">
        <is>
          <t>Narayangonj GEN-A-3</t>
        </is>
      </c>
      <c r="E1203" s="11" t="inlineStr">
        <is>
          <t>Bulbul Ahmed</t>
        </is>
      </c>
      <c r="F1203" s="10" t="n">
        <v>10529</v>
      </c>
      <c r="G1203" s="11" t="inlineStr">
        <is>
          <t>Sirajdikhan</t>
        </is>
      </c>
      <c r="H1203" s="10" t="n">
        <v>3927</v>
      </c>
      <c r="I1203" s="11" t="inlineStr">
        <is>
          <t>Mr. Md. Enamul Hoque</t>
        </is>
      </c>
      <c r="J1203" s="10">
        <f>IF(K1203&gt;0, "Completed", "Pending")</f>
        <v/>
      </c>
      <c r="K1203" s="10">
        <f>COUNTIF('Survey Responses'!F:F, F1203)</f>
        <v/>
      </c>
    </row>
    <row r="1204">
      <c r="A1204" s="10" t="n">
        <v>1203</v>
      </c>
      <c r="B1204" s="11" t="inlineStr">
        <is>
          <t>Narayangonj (GEN-A)</t>
        </is>
      </c>
      <c r="C1204" s="11" t="inlineStr">
        <is>
          <t>Mr. Harun-Or-Rashid</t>
        </is>
      </c>
      <c r="D1204" s="11" t="inlineStr">
        <is>
          <t>Narayangonj GEN-A-4</t>
        </is>
      </c>
      <c r="E1204" s="11" t="inlineStr">
        <is>
          <t>Mr. Aminul Islam</t>
        </is>
      </c>
      <c r="F1204" s="10" t="n">
        <v>10514</v>
      </c>
      <c r="G1204" s="11" t="inlineStr">
        <is>
          <t>Bondor</t>
        </is>
      </c>
      <c r="H1204" s="10" t="n">
        <v>3130</v>
      </c>
      <c r="I1204" s="11" t="inlineStr">
        <is>
          <t>Md. Azizul Islam</t>
        </is>
      </c>
      <c r="J1204" s="10">
        <f>IF(K1204&gt;0, "Completed", "Pending")</f>
        <v/>
      </c>
      <c r="K1204" s="10">
        <f>COUNTIF('Survey Responses'!F:F, F1204)</f>
        <v/>
      </c>
    </row>
    <row r="1205">
      <c r="A1205" s="10" t="n">
        <v>1204</v>
      </c>
      <c r="B1205" s="11" t="inlineStr">
        <is>
          <t>Narayangonj (GEN-A)</t>
        </is>
      </c>
      <c r="C1205" s="11" t="inlineStr">
        <is>
          <t>Mr. Harun-Or-Rashid</t>
        </is>
      </c>
      <c r="D1205" s="11" t="inlineStr">
        <is>
          <t>Narayangonj GEN-A-4</t>
        </is>
      </c>
      <c r="E1205" s="11" t="inlineStr">
        <is>
          <t>Mr. Aminul Islam</t>
        </is>
      </c>
      <c r="F1205" s="10" t="n">
        <v>12273</v>
      </c>
      <c r="G1205" s="11" t="inlineStr">
        <is>
          <t>Bondor-2</t>
        </is>
      </c>
      <c r="H1205" s="10" t="n">
        <v>3652</v>
      </c>
      <c r="I1205" s="11" t="inlineStr">
        <is>
          <t>Mr. Md. Imran Ali</t>
        </is>
      </c>
      <c r="J1205" s="10">
        <f>IF(K1205&gt;0, "Completed", "Pending")</f>
        <v/>
      </c>
      <c r="K1205" s="10">
        <f>COUNTIF('Survey Responses'!F:F, F1205)</f>
        <v/>
      </c>
    </row>
    <row r="1206">
      <c r="A1206" s="10" t="n">
        <v>1205</v>
      </c>
      <c r="B1206" s="11" t="inlineStr">
        <is>
          <t>Narayangonj (GEN-A)</t>
        </is>
      </c>
      <c r="C1206" s="11" t="inlineStr">
        <is>
          <t>Mr. Harun-Or-Rashid</t>
        </is>
      </c>
      <c r="D1206" s="11" t="inlineStr">
        <is>
          <t>Narayangonj GEN-A-4</t>
        </is>
      </c>
      <c r="E1206" s="11" t="inlineStr">
        <is>
          <t>Mr. Aminul Islam</t>
        </is>
      </c>
      <c r="F1206" s="10" t="n">
        <v>10516</v>
      </c>
      <c r="G1206" s="11" t="inlineStr">
        <is>
          <t>N.Gonj (Lab Aid)</t>
        </is>
      </c>
      <c r="H1206" s="10" t="n">
        <v>9068</v>
      </c>
      <c r="I1206" s="11" t="inlineStr">
        <is>
          <t>Mr. Md. Mohebbulla</t>
        </is>
      </c>
      <c r="J1206" s="10">
        <f>IF(K1206&gt;0, "Completed", "Pending")</f>
        <v/>
      </c>
      <c r="K1206" s="10">
        <f>COUNTIF('Survey Responses'!F:F, F1206)</f>
        <v/>
      </c>
    </row>
    <row r="1207">
      <c r="A1207" s="10" t="n">
        <v>1206</v>
      </c>
      <c r="B1207" s="11" t="inlineStr">
        <is>
          <t>Narayangonj (GEN-A)</t>
        </is>
      </c>
      <c r="C1207" s="11" t="inlineStr">
        <is>
          <t>Mr. Harun-Or-Rashid</t>
        </is>
      </c>
      <c r="D1207" s="11" t="inlineStr">
        <is>
          <t>Narayangonj GEN-A-4</t>
        </is>
      </c>
      <c r="E1207" s="11" t="inlineStr">
        <is>
          <t>Mr. Aminul Islam</t>
        </is>
      </c>
      <c r="F1207" s="10" t="n">
        <v>10519</v>
      </c>
      <c r="G1207" s="11" t="inlineStr">
        <is>
          <t>N.Gonj (Modern-1)</t>
        </is>
      </c>
      <c r="H1207" s="10" t="n">
        <v>2817</v>
      </c>
      <c r="I1207" s="11" t="inlineStr">
        <is>
          <t>Md. Shafiqul Islam</t>
        </is>
      </c>
      <c r="J1207" s="10">
        <f>IF(K1207&gt;0, "Completed", "Pending")</f>
        <v/>
      </c>
      <c r="K1207" s="10">
        <f>COUNTIF('Survey Responses'!F:F, F1207)</f>
        <v/>
      </c>
    </row>
    <row r="1208">
      <c r="A1208" s="10" t="n">
        <v>1207</v>
      </c>
      <c r="B1208" s="11" t="inlineStr">
        <is>
          <t>Narayangonj (GEN-A)</t>
        </is>
      </c>
      <c r="C1208" s="11" t="inlineStr">
        <is>
          <t>Mr. Harun-Or-Rashid</t>
        </is>
      </c>
      <c r="D1208" s="11" t="inlineStr">
        <is>
          <t>Narayangonj GEN-A-4</t>
        </is>
      </c>
      <c r="E1208" s="11" t="inlineStr">
        <is>
          <t>Mr. Aminul Islam</t>
        </is>
      </c>
      <c r="F1208" s="10" t="n">
        <v>10520</v>
      </c>
      <c r="G1208" s="11" t="inlineStr">
        <is>
          <t>N.Gonj (Modern-2)</t>
        </is>
      </c>
      <c r="H1208" s="10" t="n">
        <v>6866</v>
      </c>
      <c r="I1208" s="11" t="inlineStr">
        <is>
          <t>Mr. Md. Nur Alam Khan</t>
        </is>
      </c>
      <c r="J1208" s="10">
        <f>IF(K1208&gt;0, "Completed", "Pending")</f>
        <v/>
      </c>
      <c r="K1208" s="10">
        <f>COUNTIF('Survey Responses'!F:F, F1208)</f>
        <v/>
      </c>
    </row>
    <row r="1209">
      <c r="A1209" s="10" t="n">
        <v>1208</v>
      </c>
      <c r="B1209" s="11" t="inlineStr">
        <is>
          <t>Narayangonj (GEN-A)</t>
        </is>
      </c>
      <c r="C1209" s="11" t="inlineStr">
        <is>
          <t>Mr. Harun-Or-Rashid</t>
        </is>
      </c>
      <c r="D1209" s="11" t="inlineStr">
        <is>
          <t>Narayangonj GEN-A-4</t>
        </is>
      </c>
      <c r="E1209" s="11" t="inlineStr">
        <is>
          <t>Mr. Aminul Islam</t>
        </is>
      </c>
      <c r="F1209" s="10" t="n">
        <v>13023</v>
      </c>
      <c r="G1209" s="11" t="inlineStr">
        <is>
          <t>Narayangonj-10</t>
        </is>
      </c>
      <c r="H1209" s="10" t="n">
        <v>7628</v>
      </c>
      <c r="I1209" s="11" t="inlineStr">
        <is>
          <t>Mr. Md. Polash Hosain</t>
        </is>
      </c>
      <c r="J1209" s="10">
        <f>IF(K1209&gt;0, "Completed", "Pending")</f>
        <v/>
      </c>
      <c r="K1209" s="10">
        <f>COUNTIF('Survey Responses'!F:F, F1209)</f>
        <v/>
      </c>
    </row>
    <row r="1210">
      <c r="A1210" s="10" t="n">
        <v>1209</v>
      </c>
      <c r="B1210" s="11" t="inlineStr">
        <is>
          <t>Narayangonj (GEN-A)</t>
        </is>
      </c>
      <c r="C1210" s="11" t="inlineStr">
        <is>
          <t>Mr. Harun-Or-Rashid</t>
        </is>
      </c>
      <c r="D1210" s="11" t="inlineStr">
        <is>
          <t>Narayangonj GEN-A-4</t>
        </is>
      </c>
      <c r="E1210" s="11" t="inlineStr">
        <is>
          <t>Mr. Aminul Islam</t>
        </is>
      </c>
      <c r="F1210" s="10" t="n">
        <v>10517</v>
      </c>
      <c r="G1210" s="11" t="inlineStr">
        <is>
          <t>Narayangonj-3</t>
        </is>
      </c>
      <c r="H1210" s="10" t="n">
        <v>2306</v>
      </c>
      <c r="I1210" s="11" t="inlineStr">
        <is>
          <t>Azizul Haque</t>
        </is>
      </c>
      <c r="J1210" s="10">
        <f>IF(K1210&gt;0, "Completed", "Pending")</f>
        <v/>
      </c>
      <c r="K1210" s="10">
        <f>COUNTIF('Survey Responses'!F:F, F1210)</f>
        <v/>
      </c>
    </row>
    <row r="1211">
      <c r="A1211" s="10" t="n">
        <v>1210</v>
      </c>
      <c r="B1211" s="11" t="inlineStr">
        <is>
          <t>Narayangonj (GEN-A)</t>
        </is>
      </c>
      <c r="C1211" s="11" t="inlineStr">
        <is>
          <t>Mr. Harun-Or-Rashid</t>
        </is>
      </c>
      <c r="D1211" s="11" t="inlineStr">
        <is>
          <t>Narayangonj GEN-A-4</t>
        </is>
      </c>
      <c r="E1211" s="11" t="inlineStr">
        <is>
          <t>Mr. Aminul Islam</t>
        </is>
      </c>
      <c r="F1211" s="10" t="n">
        <v>10508</v>
      </c>
      <c r="G1211" s="11" t="inlineStr">
        <is>
          <t>Narayangonj-5</t>
        </is>
      </c>
      <c r="H1211" s="10" t="n">
        <v>8789</v>
      </c>
      <c r="I1211" s="11" t="inlineStr">
        <is>
          <t>Mr. Md. Manjurul Islam</t>
        </is>
      </c>
      <c r="J1211" s="10">
        <f>IF(K1211&gt;0, "Completed", "Pending")</f>
        <v/>
      </c>
      <c r="K1211" s="10">
        <f>COUNTIF('Survey Responses'!F:F, F1211)</f>
        <v/>
      </c>
    </row>
    <row r="1212">
      <c r="A1212" s="10" t="n">
        <v>1211</v>
      </c>
      <c r="B1212" s="11" t="inlineStr">
        <is>
          <t>Narayangonj (GEN-A)</t>
        </is>
      </c>
      <c r="C1212" s="11" t="inlineStr">
        <is>
          <t>Mr. Harun-Or-Rashid</t>
        </is>
      </c>
      <c r="D1212" s="11" t="inlineStr">
        <is>
          <t>Sonargoan GEN-A-1</t>
        </is>
      </c>
      <c r="E1212" s="11" t="inlineStr">
        <is>
          <t>Mr. Md. Rokonuzzaman Khan</t>
        </is>
      </c>
      <c r="F1212" s="10" t="n">
        <v>10537</v>
      </c>
      <c r="G1212" s="11" t="inlineStr">
        <is>
          <t>Bobharchar</t>
        </is>
      </c>
      <c r="H1212" s="10" t="n">
        <v>3194</v>
      </c>
      <c r="I1212" s="11" t="inlineStr">
        <is>
          <t>Md. Ruhul Amin</t>
        </is>
      </c>
      <c r="J1212" s="10">
        <f>IF(K1212&gt;0, "Completed", "Pending")</f>
        <v/>
      </c>
      <c r="K1212" s="10">
        <f>COUNTIF('Survey Responses'!F:F, F1212)</f>
        <v/>
      </c>
    </row>
    <row r="1213">
      <c r="A1213" s="10" t="n">
        <v>1212</v>
      </c>
      <c r="B1213" s="11" t="inlineStr">
        <is>
          <t>Narayangonj (GEN-A)</t>
        </is>
      </c>
      <c r="C1213" s="11" t="inlineStr">
        <is>
          <t>Mr. Harun-Or-Rashid</t>
        </is>
      </c>
      <c r="D1213" s="11" t="inlineStr">
        <is>
          <t>Sonargoan GEN-A-1</t>
        </is>
      </c>
      <c r="E1213" s="11" t="inlineStr">
        <is>
          <t>Mr. Md. Rokonuzzaman Khan</t>
        </is>
      </c>
      <c r="F1213" s="10" t="n">
        <v>12593</v>
      </c>
      <c r="G1213" s="11" t="inlineStr">
        <is>
          <t>Bobharchar-2</t>
        </is>
      </c>
      <c r="H1213" s="10" t="n">
        <v>5604</v>
      </c>
      <c r="I1213" s="11" t="inlineStr">
        <is>
          <t>Mr. Md. Nahidul Islam-5604</t>
        </is>
      </c>
      <c r="J1213" s="10">
        <f>IF(K1213&gt;0, "Completed", "Pending")</f>
        <v/>
      </c>
      <c r="K1213" s="10">
        <f>COUNTIF('Survey Responses'!F:F, F1213)</f>
        <v/>
      </c>
    </row>
    <row r="1214">
      <c r="A1214" s="10" t="n">
        <v>1213</v>
      </c>
      <c r="B1214" s="11" t="inlineStr">
        <is>
          <t>Narayangonj (GEN-A)</t>
        </is>
      </c>
      <c r="C1214" s="11" t="inlineStr">
        <is>
          <t>Mr. Harun-Or-Rashid</t>
        </is>
      </c>
      <c r="D1214" s="11" t="inlineStr">
        <is>
          <t>Sonargoan GEN-A-1</t>
        </is>
      </c>
      <c r="E1214" s="11" t="inlineStr">
        <is>
          <t>Mr. Md. Rokonuzzaman Khan</t>
        </is>
      </c>
      <c r="F1214" s="10" t="n">
        <v>10539</v>
      </c>
      <c r="G1214" s="11" t="inlineStr">
        <is>
          <t>Sonargaon-1</t>
        </is>
      </c>
      <c r="H1214" s="10" t="n">
        <v>1556</v>
      </c>
      <c r="I1214" s="11" t="inlineStr">
        <is>
          <t>Sontosh Kumar</t>
        </is>
      </c>
      <c r="J1214" s="10">
        <f>IF(K1214&gt;0, "Completed", "Pending")</f>
        <v/>
      </c>
      <c r="K1214" s="10">
        <f>COUNTIF('Survey Responses'!F:F, F1214)</f>
        <v/>
      </c>
    </row>
    <row r="1215">
      <c r="A1215" s="10" t="n">
        <v>1214</v>
      </c>
      <c r="B1215" s="11" t="inlineStr">
        <is>
          <t>Narayangonj (GEN-A)</t>
        </is>
      </c>
      <c r="C1215" s="11" t="inlineStr">
        <is>
          <t>Mr. Harun-Or-Rashid</t>
        </is>
      </c>
      <c r="D1215" s="11" t="inlineStr">
        <is>
          <t>Sonargoan GEN-A-1</t>
        </is>
      </c>
      <c r="E1215" s="11" t="inlineStr">
        <is>
          <t>Mr. Md. Rokonuzzaman Khan</t>
        </is>
      </c>
      <c r="F1215" s="10" t="n">
        <v>10538</v>
      </c>
      <c r="G1215" s="11" t="inlineStr">
        <is>
          <t>Sonargaon-2</t>
        </is>
      </c>
      <c r="H1215" s="10" t="n">
        <v>1854</v>
      </c>
      <c r="I1215" s="11" t="inlineStr">
        <is>
          <t>Md. Abdur Razzak</t>
        </is>
      </c>
      <c r="J1215" s="10">
        <f>IF(K1215&gt;0, "Completed", "Pending")</f>
        <v/>
      </c>
      <c r="K1215" s="10">
        <f>COUNTIF('Survey Responses'!F:F, F1215)</f>
        <v/>
      </c>
    </row>
    <row r="1216">
      <c r="A1216" s="10" t="n">
        <v>1215</v>
      </c>
      <c r="B1216" s="11" t="inlineStr">
        <is>
          <t>Narayangonj (GEN-A)</t>
        </is>
      </c>
      <c r="C1216" s="11" t="inlineStr">
        <is>
          <t>Mr. Harun-Or-Rashid</t>
        </is>
      </c>
      <c r="D1216" s="11" t="inlineStr">
        <is>
          <t>Sonargoan GEN-A-1</t>
        </is>
      </c>
      <c r="E1216" s="11" t="inlineStr">
        <is>
          <t>Mr. Md. Rokonuzzaman Khan</t>
        </is>
      </c>
      <c r="F1216" s="10" t="n">
        <v>10540</v>
      </c>
      <c r="G1216" s="11" t="inlineStr">
        <is>
          <t>Sonargaon-3</t>
        </is>
      </c>
      <c r="H1216" s="10" t="n">
        <v>2261</v>
      </c>
      <c r="I1216" s="11" t="inlineStr">
        <is>
          <t>Md. Jasim Uddin</t>
        </is>
      </c>
      <c r="J1216" s="10">
        <f>IF(K1216&gt;0, "Completed", "Pending")</f>
        <v/>
      </c>
      <c r="K1216" s="10">
        <f>COUNTIF('Survey Responses'!F:F, F1216)</f>
        <v/>
      </c>
    </row>
    <row r="1217">
      <c r="A1217" s="10" t="n">
        <v>1216</v>
      </c>
      <c r="B1217" s="11" t="inlineStr">
        <is>
          <t>Narayangonj (GEN-A)</t>
        </is>
      </c>
      <c r="C1217" s="11" t="inlineStr">
        <is>
          <t>Mr. Harun-Or-Rashid</t>
        </is>
      </c>
      <c r="D1217" s="11" t="inlineStr">
        <is>
          <t>Sonargoan GEN-A-1</t>
        </is>
      </c>
      <c r="E1217" s="11" t="inlineStr">
        <is>
          <t>Mr. Md. Rokonuzzaman Khan</t>
        </is>
      </c>
      <c r="F1217" s="10" t="n">
        <v>11732</v>
      </c>
      <c r="G1217" s="11" t="inlineStr">
        <is>
          <t>Sonargaon-4</t>
        </is>
      </c>
      <c r="H1217" s="10" t="n">
        <v>6666</v>
      </c>
      <c r="I1217" s="11" t="inlineStr">
        <is>
          <t>Mr. Mahabub</t>
        </is>
      </c>
      <c r="J1217" s="10">
        <f>IF(K1217&gt;0, "Completed", "Pending")</f>
        <v/>
      </c>
      <c r="K1217" s="10">
        <f>COUNTIF('Survey Responses'!F:F, F1217)</f>
        <v/>
      </c>
    </row>
    <row r="1218">
      <c r="A1218" s="10" t="n">
        <v>1217</v>
      </c>
      <c r="B1218" s="11" t="inlineStr">
        <is>
          <t>Narayangonj (GEN-A)</t>
        </is>
      </c>
      <c r="C1218" s="11" t="inlineStr">
        <is>
          <t>Mr. Harun-Or-Rashid</t>
        </is>
      </c>
      <c r="D1218" s="11" t="inlineStr">
        <is>
          <t>Sonargoan GEN-A-1</t>
        </is>
      </c>
      <c r="E1218" s="11" t="inlineStr">
        <is>
          <t>Mr. Md. Rokonuzzaman Khan</t>
        </is>
      </c>
      <c r="F1218" s="10" t="n">
        <v>12951</v>
      </c>
      <c r="G1218" s="11" t="inlineStr">
        <is>
          <t>Sonargaon-5</t>
        </is>
      </c>
      <c r="H1218" s="10" t="n">
        <v>5178</v>
      </c>
      <c r="I1218" s="11" t="inlineStr">
        <is>
          <t>Mr. Md. Ahasan Habib</t>
        </is>
      </c>
      <c r="J1218" s="10">
        <f>IF(K1218&gt;0, "Completed", "Pending")</f>
        <v/>
      </c>
      <c r="K1218" s="10">
        <f>COUNTIF('Survey Responses'!F:F, F1218)</f>
        <v/>
      </c>
    </row>
    <row r="1219">
      <c r="A1219" s="10" t="n">
        <v>1218</v>
      </c>
      <c r="B1219" s="11" t="inlineStr">
        <is>
          <t>Narayangonj (GEN-A)</t>
        </is>
      </c>
      <c r="C1219" s="11" t="inlineStr">
        <is>
          <t>Mr. Harun-Or-Rashid</t>
        </is>
      </c>
      <c r="D1219" s="11" t="inlineStr">
        <is>
          <t>Sonargoan GEN-A-1</t>
        </is>
      </c>
      <c r="E1219" s="11" t="inlineStr">
        <is>
          <t>Mr. Md. Rokonuzzaman Khan</t>
        </is>
      </c>
      <c r="F1219" s="10" t="n">
        <v>14558</v>
      </c>
      <c r="G1219" s="11" t="inlineStr">
        <is>
          <t>Sonargaon-6</t>
        </is>
      </c>
      <c r="H1219" s="10" t="n">
        <v>7653</v>
      </c>
      <c r="I1219" s="11" t="inlineStr">
        <is>
          <t>Mr. Md. Sanoar Hosen</t>
        </is>
      </c>
      <c r="J1219" s="10">
        <f>IF(K1219&gt;0, "Completed", "Pending")</f>
        <v/>
      </c>
      <c r="K1219" s="10">
        <f>COUNTIF('Survey Responses'!F:F, F1219)</f>
        <v/>
      </c>
    </row>
    <row r="1220">
      <c r="A1220" s="10" t="n">
        <v>1219</v>
      </c>
      <c r="B1220" s="11" t="inlineStr">
        <is>
          <t>Savar (GEN-A)</t>
        </is>
      </c>
      <c r="C1220" s="11" t="inlineStr">
        <is>
          <t>Mr. Mustafa Kamal</t>
        </is>
      </c>
      <c r="D1220" s="11" t="inlineStr">
        <is>
          <t>Ashulia GEN-A-1</t>
        </is>
      </c>
      <c r="E1220" s="11" t="inlineStr">
        <is>
          <t>Mr. Hasan Al Ahsan</t>
        </is>
      </c>
      <c r="F1220" s="10" t="n">
        <v>10043</v>
      </c>
      <c r="G1220" s="11" t="inlineStr">
        <is>
          <t>Ashulia-2</t>
        </is>
      </c>
      <c r="H1220" s="10" t="n">
        <v>5133</v>
      </c>
      <c r="I1220" s="11" t="inlineStr">
        <is>
          <t>Mr. Prodip Kumar Roy</t>
        </is>
      </c>
      <c r="J1220" s="10">
        <f>IF(K1220&gt;0, "Completed", "Pending")</f>
        <v/>
      </c>
      <c r="K1220" s="10">
        <f>COUNTIF('Survey Responses'!F:F, F1220)</f>
        <v/>
      </c>
    </row>
    <row r="1221">
      <c r="A1221" s="10" t="n">
        <v>1220</v>
      </c>
      <c r="B1221" s="11" t="inlineStr">
        <is>
          <t>Savar (GEN-A)</t>
        </is>
      </c>
      <c r="C1221" s="11" t="inlineStr">
        <is>
          <t>Mr. Mustafa Kamal</t>
        </is>
      </c>
      <c r="D1221" s="11" t="inlineStr">
        <is>
          <t>Ashulia GEN-A-1</t>
        </is>
      </c>
      <c r="E1221" s="11" t="inlineStr">
        <is>
          <t>Mr. Hasan Al Ahsan</t>
        </is>
      </c>
      <c r="F1221" s="10" t="n">
        <v>10048</v>
      </c>
      <c r="G1221" s="11" t="inlineStr">
        <is>
          <t>Ashulia-3</t>
        </is>
      </c>
      <c r="H1221" s="10" t="n">
        <v>3736</v>
      </c>
      <c r="I1221" s="11" t="inlineStr">
        <is>
          <t>Mr. Md. Samsul Alam</t>
        </is>
      </c>
      <c r="J1221" s="10">
        <f>IF(K1221&gt;0, "Completed", "Pending")</f>
        <v/>
      </c>
      <c r="K1221" s="10">
        <f>COUNTIF('Survey Responses'!F:F, F1221)</f>
        <v/>
      </c>
    </row>
    <row r="1222">
      <c r="A1222" s="10" t="n">
        <v>1221</v>
      </c>
      <c r="B1222" s="11" t="inlineStr">
        <is>
          <t>Savar (GEN-A)</t>
        </is>
      </c>
      <c r="C1222" s="11" t="inlineStr">
        <is>
          <t>Mr. Mustafa Kamal</t>
        </is>
      </c>
      <c r="D1222" s="11" t="inlineStr">
        <is>
          <t>Ashulia GEN-A-1</t>
        </is>
      </c>
      <c r="E1222" s="11" t="inlineStr">
        <is>
          <t>Mr. Hasan Al Ahsan</t>
        </is>
      </c>
      <c r="F1222" s="10" t="n">
        <v>10049</v>
      </c>
      <c r="G1222" s="11" t="inlineStr">
        <is>
          <t>Ashulia-4</t>
        </is>
      </c>
      <c r="H1222" s="10" t="n">
        <v>2992</v>
      </c>
      <c r="I1222" s="11" t="inlineStr">
        <is>
          <t>Md. Abdur Razzaque</t>
        </is>
      </c>
      <c r="J1222" s="10">
        <f>IF(K1222&gt;0, "Completed", "Pending")</f>
        <v/>
      </c>
      <c r="K1222" s="10">
        <f>COUNTIF('Survey Responses'!F:F, F1222)</f>
        <v/>
      </c>
    </row>
    <row r="1223">
      <c r="A1223" s="10" t="n">
        <v>1222</v>
      </c>
      <c r="B1223" s="11" t="inlineStr">
        <is>
          <t>Savar (GEN-A)</t>
        </is>
      </c>
      <c r="C1223" s="11" t="inlineStr">
        <is>
          <t>Mr. Mustafa Kamal</t>
        </is>
      </c>
      <c r="D1223" s="11" t="inlineStr">
        <is>
          <t>Ashulia GEN-A-1</t>
        </is>
      </c>
      <c r="E1223" s="11" t="inlineStr">
        <is>
          <t>Mr. Hasan Al Ahsan</t>
        </is>
      </c>
      <c r="F1223" s="10" t="n">
        <v>13645</v>
      </c>
      <c r="G1223" s="11" t="inlineStr">
        <is>
          <t>Ashulia-6</t>
        </is>
      </c>
      <c r="H1223" s="10" t="n">
        <v>8788</v>
      </c>
      <c r="I1223" s="11" t="inlineStr">
        <is>
          <t>Mr. Md. Mynur Islam</t>
        </is>
      </c>
      <c r="J1223" s="10">
        <f>IF(K1223&gt;0, "Completed", "Pending")</f>
        <v/>
      </c>
      <c r="K1223" s="10">
        <f>COUNTIF('Survey Responses'!F:F, F1223)</f>
        <v/>
      </c>
    </row>
    <row r="1224">
      <c r="A1224" s="10" t="n">
        <v>1223</v>
      </c>
      <c r="B1224" s="11" t="inlineStr">
        <is>
          <t>Savar (GEN-A)</t>
        </is>
      </c>
      <c r="C1224" s="11" t="inlineStr">
        <is>
          <t>Mr. Mustafa Kamal</t>
        </is>
      </c>
      <c r="D1224" s="11" t="inlineStr">
        <is>
          <t>Ashulia GEN-A-1</t>
        </is>
      </c>
      <c r="E1224" s="11" t="inlineStr">
        <is>
          <t>Mr. Hasan Al Ahsan</t>
        </is>
      </c>
      <c r="F1224" s="10" t="n">
        <v>10046</v>
      </c>
      <c r="G1224" s="11" t="inlineStr">
        <is>
          <t>Zirani (KPJ,EPZ)</t>
        </is>
      </c>
      <c r="H1224" s="10" t="n">
        <v>7147</v>
      </c>
      <c r="I1224" s="11" t="inlineStr">
        <is>
          <t>Mr. Md. Babul Mia</t>
        </is>
      </c>
      <c r="J1224" s="10">
        <f>IF(K1224&gt;0, "Completed", "Pending")</f>
        <v/>
      </c>
      <c r="K1224" s="10">
        <f>COUNTIF('Survey Responses'!F:F, F1224)</f>
        <v/>
      </c>
    </row>
    <row r="1225">
      <c r="A1225" s="10" t="n">
        <v>1224</v>
      </c>
      <c r="B1225" s="11" t="inlineStr">
        <is>
          <t>Savar (GEN-A)</t>
        </is>
      </c>
      <c r="C1225" s="11" t="inlineStr">
        <is>
          <t>Mr. Mustafa Kamal</t>
        </is>
      </c>
      <c r="D1225" s="11" t="inlineStr">
        <is>
          <t>Ashulia GEN-A-1</t>
        </is>
      </c>
      <c r="E1225" s="11" t="inlineStr">
        <is>
          <t>Mr. Hasan Al Ahsan</t>
        </is>
      </c>
      <c r="F1225" s="10" t="n">
        <v>12960</v>
      </c>
      <c r="G1225" s="11" t="inlineStr">
        <is>
          <t>Zirani (KPJ,EPZ)-2</t>
        </is>
      </c>
      <c r="H1225" s="10" t="n">
        <v>5181</v>
      </c>
      <c r="I1225" s="11" t="inlineStr">
        <is>
          <t>Mr. Md. Morshed Hanif</t>
        </is>
      </c>
      <c r="J1225" s="10">
        <f>IF(K1225&gt;0, "Completed", "Pending")</f>
        <v/>
      </c>
      <c r="K1225" s="10">
        <f>COUNTIF('Survey Responses'!F:F, F1225)</f>
        <v/>
      </c>
    </row>
    <row r="1226">
      <c r="A1226" s="10" t="n">
        <v>1225</v>
      </c>
      <c r="B1226" s="11" t="inlineStr">
        <is>
          <t>Savar (GEN-A)</t>
        </is>
      </c>
      <c r="C1226" s="11" t="inlineStr">
        <is>
          <t>Mr. Mustafa Kamal</t>
        </is>
      </c>
      <c r="D1226" s="11" t="inlineStr">
        <is>
          <t>Ashulia GEN-A-1</t>
        </is>
      </c>
      <c r="E1226" s="11" t="inlineStr">
        <is>
          <t>Mr. Hasan Al Ahsan</t>
        </is>
      </c>
      <c r="F1226" s="10" t="n">
        <v>14897</v>
      </c>
      <c r="G1226" s="11" t="inlineStr">
        <is>
          <t>Zirani (KPJ,EPZ)-3</t>
        </is>
      </c>
      <c r="H1226" s="10" t="n">
        <v>9089</v>
      </c>
      <c r="I1226" s="11" t="inlineStr">
        <is>
          <t>Mr. Razu Ahmed</t>
        </is>
      </c>
      <c r="J1226" s="10">
        <f>IF(K1226&gt;0, "Completed", "Pending")</f>
        <v/>
      </c>
      <c r="K1226" s="10">
        <f>COUNTIF('Survey Responses'!F:F, F1226)</f>
        <v/>
      </c>
    </row>
    <row r="1227">
      <c r="A1227" s="10" t="n">
        <v>1226</v>
      </c>
      <c r="B1227" s="11" t="inlineStr">
        <is>
          <t>Savar (GEN-A)</t>
        </is>
      </c>
      <c r="C1227" s="11" t="inlineStr">
        <is>
          <t>Mr. Mustafa Kamal</t>
        </is>
      </c>
      <c r="D1227" s="11" t="inlineStr">
        <is>
          <t>Dhamrai GEN-A-1</t>
        </is>
      </c>
      <c r="E1227" s="11" t="inlineStr">
        <is>
          <t>Mr. Md. Faysal Kabir</t>
        </is>
      </c>
      <c r="F1227" s="10" t="n">
        <v>10060</v>
      </c>
      <c r="G1227" s="11" t="inlineStr">
        <is>
          <t>Dahmrai-1</t>
        </is>
      </c>
      <c r="H1227" s="10" t="n">
        <v>1331</v>
      </c>
      <c r="I1227" s="11" t="inlineStr">
        <is>
          <t>Md. Moinul Haque</t>
        </is>
      </c>
      <c r="J1227" s="10">
        <f>IF(K1227&gt;0, "Completed", "Pending")</f>
        <v/>
      </c>
      <c r="K1227" s="10">
        <f>COUNTIF('Survey Responses'!F:F, F1227)</f>
        <v/>
      </c>
    </row>
    <row r="1228">
      <c r="A1228" s="10" t="n">
        <v>1227</v>
      </c>
      <c r="B1228" s="11" t="inlineStr">
        <is>
          <t>Savar (GEN-A)</t>
        </is>
      </c>
      <c r="C1228" s="11" t="inlineStr">
        <is>
          <t>Mr. Mustafa Kamal</t>
        </is>
      </c>
      <c r="D1228" s="11" t="inlineStr">
        <is>
          <t>Dhamrai GEN-A-1</t>
        </is>
      </c>
      <c r="E1228" s="11" t="inlineStr">
        <is>
          <t>Mr. Md. Faysal Kabir</t>
        </is>
      </c>
      <c r="F1228" s="10" t="n">
        <v>10061</v>
      </c>
      <c r="G1228" s="11" t="inlineStr">
        <is>
          <t>Dahmrai-2</t>
        </is>
      </c>
      <c r="H1228" s="10" t="n">
        <v>2533</v>
      </c>
      <c r="I1228" s="11" t="inlineStr">
        <is>
          <t>Md. Forrukh Ahmed</t>
        </is>
      </c>
      <c r="J1228" s="10">
        <f>IF(K1228&gt;0, "Completed", "Pending")</f>
        <v/>
      </c>
      <c r="K1228" s="10">
        <f>COUNTIF('Survey Responses'!F:F, F1228)</f>
        <v/>
      </c>
    </row>
    <row r="1229">
      <c r="A1229" s="10" t="n">
        <v>1228</v>
      </c>
      <c r="B1229" s="11" t="inlineStr">
        <is>
          <t>Savar (GEN-A)</t>
        </is>
      </c>
      <c r="C1229" s="11" t="inlineStr">
        <is>
          <t>Mr. Mustafa Kamal</t>
        </is>
      </c>
      <c r="D1229" s="11" t="inlineStr">
        <is>
          <t>Dhamrai GEN-A-1</t>
        </is>
      </c>
      <c r="E1229" s="11" t="inlineStr">
        <is>
          <t>Mr. Md. Faysal Kabir</t>
        </is>
      </c>
      <c r="F1229" s="10" t="n">
        <v>12939</v>
      </c>
      <c r="G1229" s="11" t="inlineStr">
        <is>
          <t>Dhamrai-3</t>
        </is>
      </c>
      <c r="H1229" s="10" t="n">
        <v>5288</v>
      </c>
      <c r="I1229" s="11" t="inlineStr">
        <is>
          <t>Mr. Md. Ariful Islam</t>
        </is>
      </c>
      <c r="J1229" s="10">
        <f>IF(K1229&gt;0, "Completed", "Pending")</f>
        <v/>
      </c>
      <c r="K1229" s="10">
        <f>COUNTIF('Survey Responses'!F:F, F1229)</f>
        <v/>
      </c>
    </row>
    <row r="1230">
      <c r="A1230" s="10" t="n">
        <v>1229</v>
      </c>
      <c r="B1230" s="11" t="inlineStr">
        <is>
          <t>Savar (GEN-A)</t>
        </is>
      </c>
      <c r="C1230" s="11" t="inlineStr">
        <is>
          <t>Mr. Mustafa Kamal</t>
        </is>
      </c>
      <c r="D1230" s="11" t="inlineStr">
        <is>
          <t>Dhamrai GEN-A-1</t>
        </is>
      </c>
      <c r="E1230" s="11" t="inlineStr">
        <is>
          <t>Mr. Md. Faysal Kabir</t>
        </is>
      </c>
      <c r="F1230" s="10" t="n">
        <v>13646</v>
      </c>
      <c r="G1230" s="11" t="inlineStr">
        <is>
          <t>Dhamrai-4</t>
        </is>
      </c>
      <c r="H1230" s="10" t="n">
        <v>7277</v>
      </c>
      <c r="I1230" s="11" t="inlineStr">
        <is>
          <t>Mr. Abdullah Al Noman</t>
        </is>
      </c>
      <c r="J1230" s="10">
        <f>IF(K1230&gt;0, "Completed", "Pending")</f>
        <v/>
      </c>
      <c r="K1230" s="10">
        <f>COUNTIF('Survey Responses'!F:F, F1230)</f>
        <v/>
      </c>
    </row>
    <row r="1231">
      <c r="A1231" s="10" t="n">
        <v>1230</v>
      </c>
      <c r="B1231" s="11" t="inlineStr">
        <is>
          <t>Savar (GEN-A)</t>
        </is>
      </c>
      <c r="C1231" s="11" t="inlineStr">
        <is>
          <t>Mr. Mustafa Kamal</t>
        </is>
      </c>
      <c r="D1231" s="11" t="inlineStr">
        <is>
          <t>Dhamrai GEN-A-1</t>
        </is>
      </c>
      <c r="E1231" s="11" t="inlineStr">
        <is>
          <t>Mr. Md. Faysal Kabir</t>
        </is>
      </c>
      <c r="F1231" s="10" t="n">
        <v>10062</v>
      </c>
      <c r="G1231" s="11" t="inlineStr">
        <is>
          <t>Kalampur</t>
        </is>
      </c>
      <c r="H1231" s="10" t="n">
        <v>2029</v>
      </c>
      <c r="I1231" s="11" t="inlineStr">
        <is>
          <t>Md. Abdul Malek</t>
        </is>
      </c>
      <c r="J1231" s="10">
        <f>IF(K1231&gt;0, "Completed", "Pending")</f>
        <v/>
      </c>
      <c r="K1231" s="10">
        <f>COUNTIF('Survey Responses'!F:F, F1231)</f>
        <v/>
      </c>
    </row>
    <row r="1232">
      <c r="A1232" s="10" t="n">
        <v>1231</v>
      </c>
      <c r="B1232" s="11" t="inlineStr">
        <is>
          <t>Savar (GEN-A)</t>
        </is>
      </c>
      <c r="C1232" s="11" t="inlineStr">
        <is>
          <t>Mr. Mustafa Kamal</t>
        </is>
      </c>
      <c r="D1232" s="11" t="inlineStr">
        <is>
          <t>Dhamrai GEN-A-1</t>
        </is>
      </c>
      <c r="E1232" s="11" t="inlineStr">
        <is>
          <t>Mr. Md. Faysal Kabir</t>
        </is>
      </c>
      <c r="F1232" s="10" t="n">
        <v>10047</v>
      </c>
      <c r="G1232" s="11" t="inlineStr">
        <is>
          <t>Nabinagar</t>
        </is>
      </c>
      <c r="H1232" s="10" t="n">
        <v>1741</v>
      </c>
      <c r="I1232" s="11" t="inlineStr">
        <is>
          <t>Md. Zillur Rahman</t>
        </is>
      </c>
      <c r="J1232" s="10">
        <f>IF(K1232&gt;0, "Completed", "Pending")</f>
        <v/>
      </c>
      <c r="K1232" s="10">
        <f>COUNTIF('Survey Responses'!F:F, F1232)</f>
        <v/>
      </c>
    </row>
    <row r="1233">
      <c r="A1233" s="10" t="n">
        <v>1232</v>
      </c>
      <c r="B1233" s="11" t="inlineStr">
        <is>
          <t>Savar (GEN-A)</t>
        </is>
      </c>
      <c r="C1233" s="11" t="inlineStr">
        <is>
          <t>Mr. Mustafa Kamal</t>
        </is>
      </c>
      <c r="D1233" s="11" t="inlineStr">
        <is>
          <t>Dhamrai GEN-A-1</t>
        </is>
      </c>
      <c r="E1233" s="11" t="inlineStr">
        <is>
          <t>Mr. Md. Faysal Kabir</t>
        </is>
      </c>
      <c r="F1233" s="10" t="n">
        <v>12209</v>
      </c>
      <c r="G1233" s="11" t="inlineStr">
        <is>
          <t>Nabinagar-2</t>
        </is>
      </c>
      <c r="H1233" s="10" t="n">
        <v>6166</v>
      </c>
      <c r="I1233" s="11" t="inlineStr">
        <is>
          <t>Mr. Md. Sikandar Ali</t>
        </is>
      </c>
      <c r="J1233" s="10">
        <f>IF(K1233&gt;0, "Completed", "Pending")</f>
        <v/>
      </c>
      <c r="K1233" s="10">
        <f>COUNTIF('Survey Responses'!F:F, F1233)</f>
        <v/>
      </c>
    </row>
    <row r="1234">
      <c r="A1234" s="10" t="n">
        <v>1233</v>
      </c>
      <c r="B1234" s="11" t="inlineStr">
        <is>
          <t>Savar (GEN-A)</t>
        </is>
      </c>
      <c r="C1234" s="11" t="inlineStr">
        <is>
          <t>Mr. Mustafa Kamal</t>
        </is>
      </c>
      <c r="D1234" s="11" t="inlineStr">
        <is>
          <t>Manikganj GEN-A-2</t>
        </is>
      </c>
      <c r="E1234" s="11" t="inlineStr">
        <is>
          <t>Mohammad Nasir Uddin Khandaker</t>
        </is>
      </c>
      <c r="F1234" s="10" t="n">
        <v>10041</v>
      </c>
      <c r="G1234" s="11" t="inlineStr">
        <is>
          <t>Harirampur-1</t>
        </is>
      </c>
      <c r="H1234" s="10" t="n">
        <v>4179</v>
      </c>
      <c r="I1234" s="11" t="inlineStr">
        <is>
          <t>Mr. Md. Al-Amin</t>
        </is>
      </c>
      <c r="J1234" s="10">
        <f>IF(K1234&gt;0, "Completed", "Pending")</f>
        <v/>
      </c>
      <c r="K1234" s="10">
        <f>COUNTIF('Survey Responses'!F:F, F1234)</f>
        <v/>
      </c>
    </row>
    <row r="1235">
      <c r="A1235" s="10" t="n">
        <v>1234</v>
      </c>
      <c r="B1235" s="11" t="inlineStr">
        <is>
          <t>Savar (GEN-A)</t>
        </is>
      </c>
      <c r="C1235" s="11" t="inlineStr">
        <is>
          <t>Mr. Mustafa Kamal</t>
        </is>
      </c>
      <c r="D1235" s="11" t="inlineStr">
        <is>
          <t>Manikganj GEN-A-2</t>
        </is>
      </c>
      <c r="E1235" s="11" t="inlineStr">
        <is>
          <t>Mohammad Nasir Uddin Khandaker</t>
        </is>
      </c>
      <c r="F1235" s="10" t="n">
        <v>13241</v>
      </c>
      <c r="G1235" s="11" t="inlineStr">
        <is>
          <t>Harirampur-2</t>
        </is>
      </c>
      <c r="H1235" s="10" t="n">
        <v>5864</v>
      </c>
      <c r="I1235" s="11" t="inlineStr">
        <is>
          <t>Mr. Md. Mahmudul Hasan</t>
        </is>
      </c>
      <c r="J1235" s="10">
        <f>IF(K1235&gt;0, "Completed", "Pending")</f>
        <v/>
      </c>
      <c r="K1235" s="10">
        <f>COUNTIF('Survey Responses'!F:F, F1235)</f>
        <v/>
      </c>
    </row>
    <row r="1236">
      <c r="A1236" s="10" t="n">
        <v>1235</v>
      </c>
      <c r="B1236" s="11" t="inlineStr">
        <is>
          <t>Savar (GEN-A)</t>
        </is>
      </c>
      <c r="C1236" s="11" t="inlineStr">
        <is>
          <t>Mr. Mustafa Kamal</t>
        </is>
      </c>
      <c r="D1236" s="11" t="inlineStr">
        <is>
          <t>Manikganj GEN-A-2</t>
        </is>
      </c>
      <c r="E1236" s="11" t="inlineStr">
        <is>
          <t>Mohammad Nasir Uddin Khandaker</t>
        </is>
      </c>
      <c r="F1236" s="10" t="n">
        <v>10035</v>
      </c>
      <c r="G1236" s="11" t="inlineStr">
        <is>
          <t>Manikganj-3</t>
        </is>
      </c>
      <c r="H1236" s="10" t="n">
        <v>5495</v>
      </c>
      <c r="I1236" s="11" t="inlineStr">
        <is>
          <t>Mr. Md. Manik Mia</t>
        </is>
      </c>
      <c r="J1236" s="10">
        <f>IF(K1236&gt;0, "Completed", "Pending")</f>
        <v/>
      </c>
      <c r="K1236" s="10">
        <f>COUNTIF('Survey Responses'!F:F, F1236)</f>
        <v/>
      </c>
    </row>
    <row r="1237">
      <c r="A1237" s="10" t="n">
        <v>1236</v>
      </c>
      <c r="B1237" s="11" t="inlineStr">
        <is>
          <t>Savar (GEN-A)</t>
        </is>
      </c>
      <c r="C1237" s="11" t="inlineStr">
        <is>
          <t>Mr. Mustafa Kamal</t>
        </is>
      </c>
      <c r="D1237" s="11" t="inlineStr">
        <is>
          <t>Manikganj GEN-A-2</t>
        </is>
      </c>
      <c r="E1237" s="11" t="inlineStr">
        <is>
          <t>Mohammad Nasir Uddin Khandaker</t>
        </is>
      </c>
      <c r="F1237" s="10" t="n">
        <v>10036</v>
      </c>
      <c r="G1237" s="11" t="inlineStr">
        <is>
          <t>Manikganj-4</t>
        </is>
      </c>
      <c r="H1237" s="10" t="n">
        <v>6934</v>
      </c>
      <c r="I1237" s="11" t="inlineStr">
        <is>
          <t>Mr. Robiul Islam</t>
        </is>
      </c>
      <c r="J1237" s="10">
        <f>IF(K1237&gt;0, "Completed", "Pending")</f>
        <v/>
      </c>
      <c r="K1237" s="10">
        <f>COUNTIF('Survey Responses'!F:F, F1237)</f>
        <v/>
      </c>
    </row>
    <row r="1238">
      <c r="A1238" s="10" t="n">
        <v>1237</v>
      </c>
      <c r="B1238" s="11" t="inlineStr">
        <is>
          <t>Savar (GEN-A)</t>
        </is>
      </c>
      <c r="C1238" s="11" t="inlineStr">
        <is>
          <t>Mr. Mustafa Kamal</t>
        </is>
      </c>
      <c r="D1238" s="11" t="inlineStr">
        <is>
          <t>Manikganj GEN-A-2</t>
        </is>
      </c>
      <c r="E1238" s="11" t="inlineStr">
        <is>
          <t>Mohammad Nasir Uddin Khandaker</t>
        </is>
      </c>
      <c r="F1238" s="10" t="n">
        <v>12672</v>
      </c>
      <c r="G1238" s="11" t="inlineStr">
        <is>
          <t>Manikganj-5</t>
        </is>
      </c>
      <c r="H1238" s="10" t="n">
        <v>4150</v>
      </c>
      <c r="I1238" s="11" t="inlineStr">
        <is>
          <t>Mr. Md. Masud Rana</t>
        </is>
      </c>
      <c r="J1238" s="10">
        <f>IF(K1238&gt;0, "Completed", "Pending")</f>
        <v/>
      </c>
      <c r="K1238" s="10">
        <f>COUNTIF('Survey Responses'!F:F, F1238)</f>
        <v/>
      </c>
    </row>
    <row r="1239">
      <c r="A1239" s="10" t="n">
        <v>1238</v>
      </c>
      <c r="B1239" s="11" t="inlineStr">
        <is>
          <t>Savar (GEN-A)</t>
        </is>
      </c>
      <c r="C1239" s="11" t="inlineStr">
        <is>
          <t>Mr. Mustafa Kamal</t>
        </is>
      </c>
      <c r="D1239" s="11" t="inlineStr">
        <is>
          <t>Manikganj GEN-A-2</t>
        </is>
      </c>
      <c r="E1239" s="11" t="inlineStr">
        <is>
          <t>Mohammad Nasir Uddin Khandaker</t>
        </is>
      </c>
      <c r="F1239" s="10" t="n">
        <v>10042</v>
      </c>
      <c r="G1239" s="11" t="inlineStr">
        <is>
          <t>Saturia</t>
        </is>
      </c>
      <c r="H1239" s="10" t="n">
        <v>1677</v>
      </c>
      <c r="I1239" s="11" t="inlineStr">
        <is>
          <t>Mamun Talukder</t>
        </is>
      </c>
      <c r="J1239" s="10">
        <f>IF(K1239&gt;0, "Completed", "Pending")</f>
        <v/>
      </c>
      <c r="K1239" s="10">
        <f>COUNTIF('Survey Responses'!F:F, F1239)</f>
        <v/>
      </c>
    </row>
    <row r="1240">
      <c r="A1240" s="10" t="n">
        <v>1239</v>
      </c>
      <c r="B1240" s="11" t="inlineStr">
        <is>
          <t>Savar (GEN-A)</t>
        </is>
      </c>
      <c r="C1240" s="11" t="inlineStr">
        <is>
          <t>Mr. Mustafa Kamal</t>
        </is>
      </c>
      <c r="D1240" s="11" t="inlineStr">
        <is>
          <t>Manikganj GEN-A-2</t>
        </is>
      </c>
      <c r="E1240" s="11" t="inlineStr">
        <is>
          <t>Mohammad Nasir Uddin Khandaker</t>
        </is>
      </c>
      <c r="F1240" s="10" t="n">
        <v>12671</v>
      </c>
      <c r="G1240" s="11" t="inlineStr">
        <is>
          <t>Saturia-2</t>
        </is>
      </c>
      <c r="H1240" s="10" t="n">
        <v>4149</v>
      </c>
      <c r="I1240" s="11" t="inlineStr">
        <is>
          <t>Mr. Md. Johurul Islam</t>
        </is>
      </c>
      <c r="J1240" s="10">
        <f>IF(K1240&gt;0, "Completed", "Pending")</f>
        <v/>
      </c>
      <c r="K1240" s="10">
        <f>COUNTIF('Survey Responses'!F:F, F1240)</f>
        <v/>
      </c>
    </row>
    <row r="1241">
      <c r="A1241" s="10" t="n">
        <v>1240</v>
      </c>
      <c r="B1241" s="11" t="inlineStr">
        <is>
          <t>Savar (GEN-A)</t>
        </is>
      </c>
      <c r="C1241" s="11" t="inlineStr">
        <is>
          <t>Mr. Mustafa Kamal</t>
        </is>
      </c>
      <c r="D1241" s="11" t="inlineStr">
        <is>
          <t>Manikgonj GEN-A-1</t>
        </is>
      </c>
      <c r="E1241" s="11" t="inlineStr">
        <is>
          <t>Mr. Md. Abdus Salam Sarker</t>
        </is>
      </c>
      <c r="F1241" s="10" t="n">
        <v>14891</v>
      </c>
      <c r="G1241" s="11" t="inlineStr">
        <is>
          <t>Doulatpur-1</t>
        </is>
      </c>
      <c r="H1241" s="10" t="n">
        <v>9062</v>
      </c>
      <c r="I1241" s="11" t="inlineStr">
        <is>
          <t>Mr. Zahidul Islam</t>
        </is>
      </c>
      <c r="J1241" s="10">
        <f>IF(K1241&gt;0, "Completed", "Pending")</f>
        <v/>
      </c>
      <c r="K1241" s="10">
        <f>COUNTIF('Survey Responses'!F:F, F1241)</f>
        <v/>
      </c>
    </row>
    <row r="1242">
      <c r="A1242" s="10" t="n">
        <v>1241</v>
      </c>
      <c r="B1242" s="11" t="inlineStr">
        <is>
          <t>Savar (GEN-A)</t>
        </is>
      </c>
      <c r="C1242" s="11" t="inlineStr">
        <is>
          <t>Mr. Mustafa Kamal</t>
        </is>
      </c>
      <c r="D1242" s="11" t="inlineStr">
        <is>
          <t>Manikgonj GEN-A-1</t>
        </is>
      </c>
      <c r="E1242" s="11" t="inlineStr">
        <is>
          <t>Mr. Md. Abdus Salam Sarker</t>
        </is>
      </c>
      <c r="F1242" s="10" t="n">
        <v>10040</v>
      </c>
      <c r="G1242" s="11" t="inlineStr">
        <is>
          <t xml:space="preserve">Ghior-Doulatpur </t>
        </is>
      </c>
      <c r="H1242" s="10" t="n">
        <v>2611</v>
      </c>
      <c r="I1242" s="11" t="inlineStr">
        <is>
          <t>Md. Selim Reza</t>
        </is>
      </c>
      <c r="J1242" s="10">
        <f>IF(K1242&gt;0, "Completed", "Pending")</f>
        <v/>
      </c>
      <c r="K1242" s="10">
        <f>COUNTIF('Survey Responses'!F:F, F1242)</f>
        <v/>
      </c>
    </row>
    <row r="1243">
      <c r="A1243" s="10" t="n">
        <v>1242</v>
      </c>
      <c r="B1243" s="11" t="inlineStr">
        <is>
          <t>Savar (GEN-A)</t>
        </is>
      </c>
      <c r="C1243" s="11" t="inlineStr">
        <is>
          <t>Mr. Mustafa Kamal</t>
        </is>
      </c>
      <c r="D1243" s="11" t="inlineStr">
        <is>
          <t>Manikgonj GEN-A-1</t>
        </is>
      </c>
      <c r="E1243" s="11" t="inlineStr">
        <is>
          <t>Mr. Md. Abdus Salam Sarker</t>
        </is>
      </c>
      <c r="F1243" s="10" t="n">
        <v>10037</v>
      </c>
      <c r="G1243" s="11" t="inlineStr">
        <is>
          <t>Manikganj-1</t>
        </is>
      </c>
      <c r="H1243" s="10" t="n">
        <v>7429</v>
      </c>
      <c r="I1243" s="11" t="inlineStr">
        <is>
          <t>Mr. Md. Tanjil Khan</t>
        </is>
      </c>
      <c r="J1243" s="10">
        <f>IF(K1243&gt;0, "Completed", "Pending")</f>
        <v/>
      </c>
      <c r="K1243" s="10">
        <f>COUNTIF('Survey Responses'!F:F, F1243)</f>
        <v/>
      </c>
    </row>
    <row r="1244">
      <c r="A1244" s="10" t="n">
        <v>1243</v>
      </c>
      <c r="B1244" s="11" t="inlineStr">
        <is>
          <t>Savar (GEN-A)</t>
        </is>
      </c>
      <c r="C1244" s="11" t="inlineStr">
        <is>
          <t>Mr. Mustafa Kamal</t>
        </is>
      </c>
      <c r="D1244" s="11" t="inlineStr">
        <is>
          <t>Manikgonj GEN-A-1</t>
        </is>
      </c>
      <c r="E1244" s="11" t="inlineStr">
        <is>
          <t>Mr. Md. Abdus Salam Sarker</t>
        </is>
      </c>
      <c r="F1244" s="10" t="n">
        <v>10038</v>
      </c>
      <c r="G1244" s="11" t="inlineStr">
        <is>
          <t>Manikganj-2</t>
        </is>
      </c>
      <c r="H1244" s="10" t="n">
        <v>2534</v>
      </c>
      <c r="I1244" s="11" t="inlineStr">
        <is>
          <t>Md. Habibur Rahaman</t>
        </is>
      </c>
      <c r="J1244" s="10">
        <f>IF(K1244&gt;0, "Completed", "Pending")</f>
        <v/>
      </c>
      <c r="K1244" s="10">
        <f>COUNTIF('Survey Responses'!F:F, F1244)</f>
        <v/>
      </c>
    </row>
    <row r="1245">
      <c r="A1245" s="10" t="n">
        <v>1244</v>
      </c>
      <c r="B1245" s="11" t="inlineStr">
        <is>
          <t>Savar (GEN-A)</t>
        </is>
      </c>
      <c r="C1245" s="11" t="inlineStr">
        <is>
          <t>Mr. Mustafa Kamal</t>
        </is>
      </c>
      <c r="D1245" s="11" t="inlineStr">
        <is>
          <t>Manikgonj GEN-A-1</t>
        </is>
      </c>
      <c r="E1245" s="11" t="inlineStr">
        <is>
          <t>Mr. Md. Abdus Salam Sarker</t>
        </is>
      </c>
      <c r="F1245" s="10" t="n">
        <v>10096</v>
      </c>
      <c r="G1245" s="11" t="inlineStr">
        <is>
          <t>Nagarpur</t>
        </is>
      </c>
      <c r="H1245" s="10" t="n">
        <v>6497</v>
      </c>
      <c r="I1245" s="11" t="inlineStr">
        <is>
          <t>Mr. Bikash Chondro Mohanto</t>
        </is>
      </c>
      <c r="J1245" s="10">
        <f>IF(K1245&gt;0, "Completed", "Pending")</f>
        <v/>
      </c>
      <c r="K1245" s="10">
        <f>COUNTIF('Survey Responses'!F:F, F1245)</f>
        <v/>
      </c>
    </row>
    <row r="1246">
      <c r="A1246" s="10" t="n">
        <v>1245</v>
      </c>
      <c r="B1246" s="11" t="inlineStr">
        <is>
          <t>Savar (GEN-A)</t>
        </is>
      </c>
      <c r="C1246" s="11" t="inlineStr">
        <is>
          <t>Mr. Mustafa Kamal</t>
        </is>
      </c>
      <c r="D1246" s="11" t="inlineStr">
        <is>
          <t>Manikgonj GEN-A-1</t>
        </is>
      </c>
      <c r="E1246" s="11" t="inlineStr">
        <is>
          <t>Mr. Md. Abdus Salam Sarker</t>
        </is>
      </c>
      <c r="F1246" s="10" t="n">
        <v>14705</v>
      </c>
      <c r="G1246" s="11" t="inlineStr">
        <is>
          <t>Nagarpur-2</t>
        </is>
      </c>
      <c r="H1246" s="10" t="n">
        <v>1101</v>
      </c>
      <c r="I1246" s="11" t="inlineStr">
        <is>
          <t>Md. Lotiful Bari</t>
        </is>
      </c>
      <c r="J1246" s="10">
        <f>IF(K1246&gt;0, "Completed", "Pending")</f>
        <v/>
      </c>
      <c r="K1246" s="10">
        <f>COUNTIF('Survey Responses'!F:F, F1246)</f>
        <v/>
      </c>
    </row>
    <row r="1247">
      <c r="A1247" s="10" t="n">
        <v>1246</v>
      </c>
      <c r="B1247" s="11" t="inlineStr">
        <is>
          <t>Savar (GEN-A)</t>
        </is>
      </c>
      <c r="C1247" s="11" t="inlineStr">
        <is>
          <t>Mr. Mustafa Kamal</t>
        </is>
      </c>
      <c r="D1247" s="11" t="inlineStr">
        <is>
          <t>Manikgonj GEN-A-1</t>
        </is>
      </c>
      <c r="E1247" s="11" t="inlineStr">
        <is>
          <t>Mr. Md. Abdus Salam Sarker</t>
        </is>
      </c>
      <c r="F1247" s="10" t="n">
        <v>10039</v>
      </c>
      <c r="G1247" s="11" t="inlineStr">
        <is>
          <t>Sebaloy</t>
        </is>
      </c>
      <c r="H1247" s="10" t="n">
        <v>2753</v>
      </c>
      <c r="I1247" s="11" t="inlineStr">
        <is>
          <t>Md. Sariful Islam</t>
        </is>
      </c>
      <c r="J1247" s="10">
        <f>IF(K1247&gt;0, "Completed", "Pending")</f>
        <v/>
      </c>
      <c r="K1247" s="10">
        <f>COUNTIF('Survey Responses'!F:F, F1247)</f>
        <v/>
      </c>
    </row>
    <row r="1248">
      <c r="A1248" s="10" t="n">
        <v>1247</v>
      </c>
      <c r="B1248" s="11" t="inlineStr">
        <is>
          <t>Savar (GEN-A)</t>
        </is>
      </c>
      <c r="C1248" s="11" t="inlineStr">
        <is>
          <t>Mr. Mustafa Kamal</t>
        </is>
      </c>
      <c r="D1248" s="11" t="inlineStr">
        <is>
          <t>Mirzapur GEN-A-1</t>
        </is>
      </c>
      <c r="E1248" s="11" t="inlineStr">
        <is>
          <t>Taposh Kumar Roy</t>
        </is>
      </c>
      <c r="F1248" s="10" t="n">
        <v>13095</v>
      </c>
      <c r="G1248" s="11" t="inlineStr">
        <is>
          <t>Barachowna-1</t>
        </is>
      </c>
      <c r="H1248" s="10" t="n">
        <v>5494</v>
      </c>
      <c r="I1248" s="11" t="inlineStr">
        <is>
          <t>Mr. S.M. Rafsan Jany</t>
        </is>
      </c>
      <c r="J1248" s="10">
        <f>IF(K1248&gt;0, "Completed", "Pending")</f>
        <v/>
      </c>
      <c r="K1248" s="10">
        <f>COUNTIF('Survey Responses'!F:F, F1248)</f>
        <v/>
      </c>
    </row>
    <row r="1249">
      <c r="A1249" s="10" t="n">
        <v>1248</v>
      </c>
      <c r="B1249" s="11" t="inlineStr">
        <is>
          <t>Savar (GEN-A)</t>
        </is>
      </c>
      <c r="C1249" s="11" t="inlineStr">
        <is>
          <t>Mr. Mustafa Kamal</t>
        </is>
      </c>
      <c r="D1249" s="11" t="inlineStr">
        <is>
          <t>Mirzapur GEN-A-1</t>
        </is>
      </c>
      <c r="E1249" s="11" t="inlineStr">
        <is>
          <t>Taposh Kumar Roy</t>
        </is>
      </c>
      <c r="F1249" s="10" t="n">
        <v>10052</v>
      </c>
      <c r="G1249" s="11" t="inlineStr">
        <is>
          <t>Mirzapur-1</t>
        </is>
      </c>
      <c r="H1249" s="10" t="n">
        <v>2176</v>
      </c>
      <c r="I1249" s="11" t="inlineStr">
        <is>
          <t xml:space="preserve">Md. Julker Ninee </t>
        </is>
      </c>
      <c r="J1249" s="10">
        <f>IF(K1249&gt;0, "Completed", "Pending")</f>
        <v/>
      </c>
      <c r="K1249" s="10">
        <f>COUNTIF('Survey Responses'!F:F, F1249)</f>
        <v/>
      </c>
    </row>
    <row r="1250">
      <c r="A1250" s="10" t="n">
        <v>1249</v>
      </c>
      <c r="B1250" s="11" t="inlineStr">
        <is>
          <t>Savar (GEN-A)</t>
        </is>
      </c>
      <c r="C1250" s="11" t="inlineStr">
        <is>
          <t>Mr. Mustafa Kamal</t>
        </is>
      </c>
      <c r="D1250" s="11" t="inlineStr">
        <is>
          <t>Mirzapur GEN-A-1</t>
        </is>
      </c>
      <c r="E1250" s="11" t="inlineStr">
        <is>
          <t>Taposh Kumar Roy</t>
        </is>
      </c>
      <c r="F1250" s="10" t="n">
        <v>10053</v>
      </c>
      <c r="G1250" s="11" t="inlineStr">
        <is>
          <t>Mirzapur-2</t>
        </is>
      </c>
      <c r="H1250" s="10" t="n">
        <v>4154</v>
      </c>
      <c r="I1250" s="11" t="inlineStr">
        <is>
          <t>Mr. Baizid Alam</t>
        </is>
      </c>
      <c r="J1250" s="10">
        <f>IF(K1250&gt;0, "Completed", "Pending")</f>
        <v/>
      </c>
      <c r="K1250" s="10">
        <f>COUNTIF('Survey Responses'!F:F, F1250)</f>
        <v/>
      </c>
    </row>
    <row r="1251">
      <c r="A1251" s="10" t="n">
        <v>1250</v>
      </c>
      <c r="B1251" s="11" t="inlineStr">
        <is>
          <t>Savar (GEN-A)</t>
        </is>
      </c>
      <c r="C1251" s="11" t="inlineStr">
        <is>
          <t>Mr. Mustafa Kamal</t>
        </is>
      </c>
      <c r="D1251" s="11" t="inlineStr">
        <is>
          <t>Mirzapur GEN-A-1</t>
        </is>
      </c>
      <c r="E1251" s="11" t="inlineStr">
        <is>
          <t>Taposh Kumar Roy</t>
        </is>
      </c>
      <c r="F1251" s="10" t="n">
        <v>12410</v>
      </c>
      <c r="G1251" s="11" t="inlineStr">
        <is>
          <t>Mirzapur-3</t>
        </is>
      </c>
      <c r="H1251" s="10" t="n">
        <v>3810</v>
      </c>
      <c r="I1251" s="11" t="inlineStr">
        <is>
          <t>Mr. Md. Parvez Ali</t>
        </is>
      </c>
      <c r="J1251" s="10">
        <f>IF(K1251&gt;0, "Completed", "Pending")</f>
        <v/>
      </c>
      <c r="K1251" s="10">
        <f>COUNTIF('Survey Responses'!F:F, F1251)</f>
        <v/>
      </c>
    </row>
    <row r="1252">
      <c r="A1252" s="10" t="n">
        <v>1251</v>
      </c>
      <c r="B1252" s="11" t="inlineStr">
        <is>
          <t>Savar (GEN-A)</t>
        </is>
      </c>
      <c r="C1252" s="11" t="inlineStr">
        <is>
          <t>Mr. Mustafa Kamal</t>
        </is>
      </c>
      <c r="D1252" s="11" t="inlineStr">
        <is>
          <t>Mirzapur GEN-A-1</t>
        </is>
      </c>
      <c r="E1252" s="11" t="inlineStr">
        <is>
          <t>Taposh Kumar Roy</t>
        </is>
      </c>
      <c r="F1252" s="10" t="n">
        <v>10051</v>
      </c>
      <c r="G1252" s="11" t="inlineStr">
        <is>
          <t>Shakipur-1</t>
        </is>
      </c>
      <c r="H1252" s="10" t="n">
        <v>2400</v>
      </c>
      <c r="I1252" s="11" t="inlineStr">
        <is>
          <t>Mr. Jibon Krishna Barma</t>
        </is>
      </c>
      <c r="J1252" s="10">
        <f>IF(K1252&gt;0, "Completed", "Pending")</f>
        <v/>
      </c>
      <c r="K1252" s="10">
        <f>COUNTIF('Survey Responses'!F:F, F1252)</f>
        <v/>
      </c>
    </row>
    <row r="1253">
      <c r="A1253" s="10" t="n">
        <v>1252</v>
      </c>
      <c r="B1253" s="11" t="inlineStr">
        <is>
          <t>Savar (GEN-A)</t>
        </is>
      </c>
      <c r="C1253" s="11" t="inlineStr">
        <is>
          <t>Mr. Mustafa Kamal</t>
        </is>
      </c>
      <c r="D1253" s="11" t="inlineStr">
        <is>
          <t>Mirzapur GEN-A-1</t>
        </is>
      </c>
      <c r="E1253" s="11" t="inlineStr">
        <is>
          <t>Taposh Kumar Roy</t>
        </is>
      </c>
      <c r="F1253" s="10" t="n">
        <v>10055</v>
      </c>
      <c r="G1253" s="11" t="inlineStr">
        <is>
          <t>Shakipur-2</t>
        </is>
      </c>
      <c r="H1253" s="10" t="n">
        <v>789</v>
      </c>
      <c r="I1253" s="11" t="inlineStr">
        <is>
          <t xml:space="preserve">Md. Farhad Kabir </t>
        </is>
      </c>
      <c r="J1253" s="10">
        <f>IF(K1253&gt;0, "Completed", "Pending")</f>
        <v/>
      </c>
      <c r="K1253" s="10">
        <f>COUNTIF('Survey Responses'!F:F, F1253)</f>
        <v/>
      </c>
    </row>
    <row r="1254">
      <c r="A1254" s="10" t="n">
        <v>1253</v>
      </c>
      <c r="B1254" s="11" t="inlineStr">
        <is>
          <t>Savar (GEN-A)</t>
        </is>
      </c>
      <c r="C1254" s="11" t="inlineStr">
        <is>
          <t>Mr. Mustafa Kamal</t>
        </is>
      </c>
      <c r="D1254" s="11" t="inlineStr">
        <is>
          <t>Mirzapur GEN-A-1</t>
        </is>
      </c>
      <c r="E1254" s="11" t="inlineStr">
        <is>
          <t>Taposh Kumar Roy</t>
        </is>
      </c>
      <c r="F1254" s="10" t="n">
        <v>12917</v>
      </c>
      <c r="G1254" s="11" t="inlineStr">
        <is>
          <t>Shakipur-3</t>
        </is>
      </c>
      <c r="H1254" s="10" t="n">
        <v>2264</v>
      </c>
      <c r="I1254" s="11" t="inlineStr">
        <is>
          <t>Md. Faruk Hossain</t>
        </is>
      </c>
      <c r="J1254" s="10">
        <f>IF(K1254&gt;0, "Completed", "Pending")</f>
        <v/>
      </c>
      <c r="K1254" s="10">
        <f>COUNTIF('Survey Responses'!F:F, F1254)</f>
        <v/>
      </c>
    </row>
    <row r="1255">
      <c r="A1255" s="10" t="n">
        <v>1254</v>
      </c>
      <c r="B1255" s="11" t="inlineStr">
        <is>
          <t>Savar (GEN-A)</t>
        </is>
      </c>
      <c r="C1255" s="11" t="inlineStr">
        <is>
          <t>Mr. Mustafa Kamal</t>
        </is>
      </c>
      <c r="D1255" s="11" t="inlineStr">
        <is>
          <t>Savar GEN-A-1</t>
        </is>
      </c>
      <c r="E1255" s="11" t="inlineStr">
        <is>
          <t>Md. Anisuzzaman Talukder</t>
        </is>
      </c>
      <c r="F1255" s="10" t="n">
        <v>12827</v>
      </c>
      <c r="G1255" s="11" t="inlineStr">
        <is>
          <t>Savar-10</t>
        </is>
      </c>
      <c r="H1255" s="10" t="n">
        <v>2083</v>
      </c>
      <c r="I1255" s="11" t="inlineStr">
        <is>
          <t>Md. Ribul Islam</t>
        </is>
      </c>
      <c r="J1255" s="10">
        <f>IF(K1255&gt;0, "Completed", "Pending")</f>
        <v/>
      </c>
      <c r="K1255" s="10">
        <f>COUNTIF('Survey Responses'!F:F, F1255)</f>
        <v/>
      </c>
    </row>
    <row r="1256">
      <c r="A1256" s="10" t="n">
        <v>1255</v>
      </c>
      <c r="B1256" s="11" t="inlineStr">
        <is>
          <t>Savar (GEN-A)</t>
        </is>
      </c>
      <c r="C1256" s="11" t="inlineStr">
        <is>
          <t>Mr. Mustafa Kamal</t>
        </is>
      </c>
      <c r="D1256" s="11" t="inlineStr">
        <is>
          <t>Savar GEN-A-1</t>
        </is>
      </c>
      <c r="E1256" s="11" t="inlineStr">
        <is>
          <t>Md. Anisuzzaman Talukder</t>
        </is>
      </c>
      <c r="F1256" s="10" t="n">
        <v>10032</v>
      </c>
      <c r="G1256" s="11" t="inlineStr">
        <is>
          <t>Savar-2</t>
        </is>
      </c>
      <c r="H1256" s="10" t="n">
        <v>1966</v>
      </c>
      <c r="I1256" s="11" t="inlineStr">
        <is>
          <t>Md. Rahamat Ullah</t>
        </is>
      </c>
      <c r="J1256" s="10">
        <f>IF(K1256&gt;0, "Completed", "Pending")</f>
        <v/>
      </c>
      <c r="K1256" s="10">
        <f>COUNTIF('Survey Responses'!F:F, F1256)</f>
        <v/>
      </c>
    </row>
    <row r="1257">
      <c r="A1257" s="10" t="n">
        <v>1256</v>
      </c>
      <c r="B1257" s="11" t="inlineStr">
        <is>
          <t>Savar (GEN-A)</t>
        </is>
      </c>
      <c r="C1257" s="11" t="inlineStr">
        <is>
          <t>Mr. Mustafa Kamal</t>
        </is>
      </c>
      <c r="D1257" s="11" t="inlineStr">
        <is>
          <t>Savar GEN-A-1</t>
        </is>
      </c>
      <c r="E1257" s="11" t="inlineStr">
        <is>
          <t>Md. Anisuzzaman Talukder</t>
        </is>
      </c>
      <c r="F1257" s="10" t="n">
        <v>10033</v>
      </c>
      <c r="G1257" s="11" t="inlineStr">
        <is>
          <t>Savar-6</t>
        </is>
      </c>
      <c r="H1257" s="10" t="n">
        <v>3711</v>
      </c>
      <c r="I1257" s="11" t="inlineStr">
        <is>
          <t>Mr. Md. Abu Sayed Ratan</t>
        </is>
      </c>
      <c r="J1257" s="10">
        <f>IF(K1257&gt;0, "Completed", "Pending")</f>
        <v/>
      </c>
      <c r="K1257" s="10">
        <f>COUNTIF('Survey Responses'!F:F, F1257)</f>
        <v/>
      </c>
    </row>
    <row r="1258">
      <c r="A1258" s="10" t="n">
        <v>1257</v>
      </c>
      <c r="B1258" s="11" t="inlineStr">
        <is>
          <t>Savar (GEN-A)</t>
        </is>
      </c>
      <c r="C1258" s="11" t="inlineStr">
        <is>
          <t>Mr. Mustafa Kamal</t>
        </is>
      </c>
      <c r="D1258" s="11" t="inlineStr">
        <is>
          <t>Savar GEN-A-1</t>
        </is>
      </c>
      <c r="E1258" s="11" t="inlineStr">
        <is>
          <t>Md. Anisuzzaman Talukder</t>
        </is>
      </c>
      <c r="F1258" s="10" t="n">
        <v>10034</v>
      </c>
      <c r="G1258" s="11" t="inlineStr">
        <is>
          <t>Savar-8</t>
        </is>
      </c>
      <c r="H1258" s="10" t="n">
        <v>2878</v>
      </c>
      <c r="I1258" s="11" t="inlineStr">
        <is>
          <t>Md. Rabiul Islam</t>
        </is>
      </c>
      <c r="J1258" s="10">
        <f>IF(K1258&gt;0, "Completed", "Pending")</f>
        <v/>
      </c>
      <c r="K1258" s="10">
        <f>COUNTIF('Survey Responses'!F:F, F1258)</f>
        <v/>
      </c>
    </row>
    <row r="1259">
      <c r="A1259" s="10" t="n">
        <v>1258</v>
      </c>
      <c r="B1259" s="11" t="inlineStr">
        <is>
          <t>Savar (GEN-A)</t>
        </is>
      </c>
      <c r="C1259" s="11" t="inlineStr">
        <is>
          <t>Mr. Mustafa Kamal</t>
        </is>
      </c>
      <c r="D1259" s="11" t="inlineStr">
        <is>
          <t>Savar GEN-A-1</t>
        </is>
      </c>
      <c r="E1259" s="11" t="inlineStr">
        <is>
          <t>Md. Anisuzzaman Talukder</t>
        </is>
      </c>
      <c r="F1259" s="10" t="n">
        <v>10027</v>
      </c>
      <c r="G1259" s="11" t="inlineStr">
        <is>
          <t>Singair-1</t>
        </is>
      </c>
      <c r="H1259" s="10" t="n">
        <v>2795</v>
      </c>
      <c r="I1259" s="11" t="inlineStr">
        <is>
          <t>Md. Sazzad Hosen</t>
        </is>
      </c>
      <c r="J1259" s="10">
        <f>IF(K1259&gt;0, "Completed", "Pending")</f>
        <v/>
      </c>
      <c r="K1259" s="10">
        <f>COUNTIF('Survey Responses'!F:F, F1259)</f>
        <v/>
      </c>
    </row>
    <row r="1260">
      <c r="A1260" s="10" t="n">
        <v>1259</v>
      </c>
      <c r="B1260" s="11" t="inlineStr">
        <is>
          <t>Savar (GEN-A)</t>
        </is>
      </c>
      <c r="C1260" s="11" t="inlineStr">
        <is>
          <t>Mr. Mustafa Kamal</t>
        </is>
      </c>
      <c r="D1260" s="11" t="inlineStr">
        <is>
          <t>Savar GEN-A-1</t>
        </is>
      </c>
      <c r="E1260" s="11" t="inlineStr">
        <is>
          <t>Md. Anisuzzaman Talukder</t>
        </is>
      </c>
      <c r="F1260" s="10" t="n">
        <v>10030</v>
      </c>
      <c r="G1260" s="11" t="inlineStr">
        <is>
          <t>Singair-2</t>
        </is>
      </c>
      <c r="H1260" s="10" t="n">
        <v>1105</v>
      </c>
      <c r="I1260" s="11" t="inlineStr">
        <is>
          <t>Md. Aslam Uddin</t>
        </is>
      </c>
      <c r="J1260" s="10">
        <f>IF(K1260&gt;0, "Completed", "Pending")</f>
        <v/>
      </c>
      <c r="K1260" s="10">
        <f>COUNTIF('Survey Responses'!F:F, F1260)</f>
        <v/>
      </c>
    </row>
    <row r="1261">
      <c r="A1261" s="10" t="n">
        <v>1260</v>
      </c>
      <c r="B1261" s="11" t="inlineStr">
        <is>
          <t>Savar (GEN-A)</t>
        </is>
      </c>
      <c r="C1261" s="11" t="inlineStr">
        <is>
          <t>Mr. Mustafa Kamal</t>
        </is>
      </c>
      <c r="D1261" s="11" t="inlineStr">
        <is>
          <t>Savar GEN-A-1</t>
        </is>
      </c>
      <c r="E1261" s="11" t="inlineStr">
        <is>
          <t>Md. Anisuzzaman Talukder</t>
        </is>
      </c>
      <c r="F1261" s="10" t="n">
        <v>12961</v>
      </c>
      <c r="G1261" s="11" t="inlineStr">
        <is>
          <t>Singair-3</t>
        </is>
      </c>
      <c r="H1261" s="10" t="n">
        <v>5182</v>
      </c>
      <c r="I1261" s="11" t="inlineStr">
        <is>
          <t>Mr. Md. Selim Reza</t>
        </is>
      </c>
      <c r="J1261" s="10">
        <f>IF(K1261&gt;0, "Completed", "Pending")</f>
        <v/>
      </c>
      <c r="K1261" s="10">
        <f>COUNTIF('Survey Responses'!F:F, F1261)</f>
        <v/>
      </c>
    </row>
    <row r="1262">
      <c r="A1262" s="10" t="n">
        <v>1261</v>
      </c>
      <c r="B1262" s="11" t="inlineStr">
        <is>
          <t>Savar (GEN-A)</t>
        </is>
      </c>
      <c r="C1262" s="11" t="inlineStr">
        <is>
          <t>Mr. Mustafa Kamal</t>
        </is>
      </c>
      <c r="D1262" s="11" t="inlineStr">
        <is>
          <t>Savar GEN-A-2</t>
        </is>
      </c>
      <c r="E1262" s="11" t="inlineStr">
        <is>
          <t>Mr. Tainoor Rahman</t>
        </is>
      </c>
      <c r="F1262" s="10" t="n">
        <v>10028</v>
      </c>
      <c r="G1262" s="11" t="inlineStr">
        <is>
          <t>Hemayetpur-1</t>
        </is>
      </c>
      <c r="H1262" s="10" t="n">
        <v>1007</v>
      </c>
      <c r="I1262" s="11" t="inlineStr">
        <is>
          <t>Md. Amirul Azam</t>
        </is>
      </c>
      <c r="J1262" s="10">
        <f>IF(K1262&gt;0, "Completed", "Pending")</f>
        <v/>
      </c>
      <c r="K1262" s="10">
        <f>COUNTIF('Survey Responses'!F:F, F1262)</f>
        <v/>
      </c>
    </row>
    <row r="1263">
      <c r="A1263" s="10" t="n">
        <v>1262</v>
      </c>
      <c r="B1263" s="11" t="inlineStr">
        <is>
          <t>Savar (GEN-A)</t>
        </is>
      </c>
      <c r="C1263" s="11" t="inlineStr">
        <is>
          <t>Mr. Mustafa Kamal</t>
        </is>
      </c>
      <c r="D1263" s="11" t="inlineStr">
        <is>
          <t>Savar GEN-A-2</t>
        </is>
      </c>
      <c r="E1263" s="11" t="inlineStr">
        <is>
          <t>Mr. Tainoor Rahman</t>
        </is>
      </c>
      <c r="F1263" s="10" t="n">
        <v>10029</v>
      </c>
      <c r="G1263" s="11" t="inlineStr">
        <is>
          <t>Hemayetpur-2</t>
        </is>
      </c>
      <c r="H1263" s="10" t="n">
        <v>3025</v>
      </c>
      <c r="I1263" s="11" t="inlineStr">
        <is>
          <t>Md. Shahin Alam</t>
        </is>
      </c>
      <c r="J1263" s="10">
        <f>IF(K1263&gt;0, "Completed", "Pending")</f>
        <v/>
      </c>
      <c r="K1263" s="10">
        <f>COUNTIF('Survey Responses'!F:F, F1263)</f>
        <v/>
      </c>
    </row>
    <row r="1264">
      <c r="A1264" s="10" t="n">
        <v>1263</v>
      </c>
      <c r="B1264" s="11" t="inlineStr">
        <is>
          <t>Savar (GEN-A)</t>
        </is>
      </c>
      <c r="C1264" s="11" t="inlineStr">
        <is>
          <t>Mr. Mustafa Kamal</t>
        </is>
      </c>
      <c r="D1264" s="11" t="inlineStr">
        <is>
          <t>Savar GEN-A-2</t>
        </is>
      </c>
      <c r="E1264" s="11" t="inlineStr">
        <is>
          <t>Mr. Tainoor Rahman</t>
        </is>
      </c>
      <c r="F1264" s="10" t="n">
        <v>12962</v>
      </c>
      <c r="G1264" s="11" t="inlineStr">
        <is>
          <t>Hemayetpur-3</t>
        </is>
      </c>
      <c r="H1264" s="10" t="n">
        <v>5183</v>
      </c>
      <c r="I1264" s="11" t="inlineStr">
        <is>
          <t>Mr. Md. Rubel</t>
        </is>
      </c>
      <c r="J1264" s="10">
        <f>IF(K1264&gt;0, "Completed", "Pending")</f>
        <v/>
      </c>
      <c r="K1264" s="10">
        <f>COUNTIF('Survey Responses'!F:F, F1264)</f>
        <v/>
      </c>
    </row>
    <row r="1265">
      <c r="A1265" s="10" t="n">
        <v>1264</v>
      </c>
      <c r="B1265" s="11" t="inlineStr">
        <is>
          <t>Savar (GEN-A)</t>
        </is>
      </c>
      <c r="C1265" s="11" t="inlineStr">
        <is>
          <t>Mr. Mustafa Kamal</t>
        </is>
      </c>
      <c r="D1265" s="11" t="inlineStr">
        <is>
          <t>Savar GEN-A-2</t>
        </is>
      </c>
      <c r="E1265" s="11" t="inlineStr">
        <is>
          <t>Mr. Tainoor Rahman</t>
        </is>
      </c>
      <c r="F1265" s="10" t="n">
        <v>10056</v>
      </c>
      <c r="G1265" s="11" t="inlineStr">
        <is>
          <t>Savar-1</t>
        </is>
      </c>
      <c r="H1265" s="10" t="n">
        <v>1925</v>
      </c>
      <c r="I1265" s="11" t="inlineStr">
        <is>
          <t>Md. Habibur Rahman</t>
        </is>
      </c>
      <c r="J1265" s="10">
        <f>IF(K1265&gt;0, "Completed", "Pending")</f>
        <v/>
      </c>
      <c r="K1265" s="10">
        <f>COUNTIF('Survey Responses'!F:F, F1265)</f>
        <v/>
      </c>
    </row>
    <row r="1266">
      <c r="A1266" s="10" t="n">
        <v>1265</v>
      </c>
      <c r="B1266" s="11" t="inlineStr">
        <is>
          <t>Savar (GEN-A)</t>
        </is>
      </c>
      <c r="C1266" s="11" t="inlineStr">
        <is>
          <t>Mr. Mustafa Kamal</t>
        </is>
      </c>
      <c r="D1266" s="11" t="inlineStr">
        <is>
          <t>Savar GEN-A-2</t>
        </is>
      </c>
      <c r="E1266" s="11" t="inlineStr">
        <is>
          <t>Mr. Tainoor Rahman</t>
        </is>
      </c>
      <c r="F1266" s="10" t="n">
        <v>10057</v>
      </c>
      <c r="G1266" s="11" t="inlineStr">
        <is>
          <t>Savar-4</t>
        </is>
      </c>
      <c r="H1266" s="10" t="n">
        <v>8841</v>
      </c>
      <c r="I1266" s="11" t="inlineStr">
        <is>
          <t>Mr. Md. Kamrul Hasan</t>
        </is>
      </c>
      <c r="J1266" s="10">
        <f>IF(K1266&gt;0, "Completed", "Pending")</f>
        <v/>
      </c>
      <c r="K1266" s="10">
        <f>COUNTIF('Survey Responses'!F:F, F1266)</f>
        <v/>
      </c>
    </row>
    <row r="1267">
      <c r="A1267" s="10" t="n">
        <v>1266</v>
      </c>
      <c r="B1267" s="11" t="inlineStr">
        <is>
          <t>Savar (GEN-A)</t>
        </is>
      </c>
      <c r="C1267" s="11" t="inlineStr">
        <is>
          <t>Mr. Mustafa Kamal</t>
        </is>
      </c>
      <c r="D1267" s="11" t="inlineStr">
        <is>
          <t>Savar GEN-A-2</t>
        </is>
      </c>
      <c r="E1267" s="11" t="inlineStr">
        <is>
          <t>Mr. Tainoor Rahman</t>
        </is>
      </c>
      <c r="F1267" s="10" t="n">
        <v>10059</v>
      </c>
      <c r="G1267" s="11" t="inlineStr">
        <is>
          <t>Savar-7</t>
        </is>
      </c>
      <c r="H1267" s="10" t="n">
        <v>1083</v>
      </c>
      <c r="I1267" s="11" t="inlineStr">
        <is>
          <t>Md. Musfiqur Rahman</t>
        </is>
      </c>
      <c r="J1267" s="10">
        <f>IF(K1267&gt;0, "Completed", "Pending")</f>
        <v/>
      </c>
      <c r="K1267" s="10">
        <f>COUNTIF('Survey Responses'!F:F, F1267)</f>
        <v/>
      </c>
    </row>
    <row r="1268">
      <c r="A1268" s="10" t="n">
        <v>1267</v>
      </c>
      <c r="B1268" s="11" t="inlineStr">
        <is>
          <t>Savar (GEN-A)</t>
        </is>
      </c>
      <c r="C1268" s="11" t="inlineStr">
        <is>
          <t>Mr. Mustafa Kamal</t>
        </is>
      </c>
      <c r="D1268" s="11" t="inlineStr">
        <is>
          <t>Savar GEN-A-2</t>
        </is>
      </c>
      <c r="E1268" s="11" t="inlineStr">
        <is>
          <t>Mr. Tainoor Rahman</t>
        </is>
      </c>
      <c r="F1268" s="10" t="n">
        <v>12332</v>
      </c>
      <c r="G1268" s="11" t="inlineStr">
        <is>
          <t>Savar-9</t>
        </is>
      </c>
      <c r="H1268" s="10" t="n">
        <v>5964</v>
      </c>
      <c r="I1268" s="11" t="inlineStr">
        <is>
          <t>Md. Faruk Hossain</t>
        </is>
      </c>
      <c r="J1268" s="10">
        <f>IF(K1268&gt;0, "Completed", "Pending")</f>
        <v/>
      </c>
      <c r="K1268" s="10">
        <f>COUNTIF('Survey Responses'!F:F, F1268)</f>
        <v/>
      </c>
    </row>
    <row r="1269">
      <c r="A1269" s="10" t="n">
        <v>1268</v>
      </c>
      <c r="B1269" s="11" t="inlineStr">
        <is>
          <t>Savar (GEN-A)</t>
        </is>
      </c>
      <c r="C1269" s="11" t="inlineStr">
        <is>
          <t>Mr. Mustafa Kamal</t>
        </is>
      </c>
      <c r="D1269" s="11" t="inlineStr">
        <is>
          <t>Savar GEN-A-3</t>
        </is>
      </c>
      <c r="E1269" s="11" t="inlineStr">
        <is>
          <t>Md. Tarek Aziz</t>
        </is>
      </c>
      <c r="F1269" s="10" t="n">
        <v>14898</v>
      </c>
      <c r="G1269" s="11" t="inlineStr">
        <is>
          <t>Ashulia Bazar</t>
        </is>
      </c>
      <c r="H1269" s="10" t="n">
        <v>9090</v>
      </c>
      <c r="I1269" s="11" t="inlineStr">
        <is>
          <t>Mr. Md. Rakib Hassan</t>
        </is>
      </c>
      <c r="J1269" s="10">
        <f>IF(K1269&gt;0, "Completed", "Pending")</f>
        <v/>
      </c>
      <c r="K1269" s="10">
        <f>COUNTIF('Survey Responses'!F:F, F1269)</f>
        <v/>
      </c>
    </row>
    <row r="1270">
      <c r="A1270" s="10" t="n">
        <v>1269</v>
      </c>
      <c r="B1270" s="11" t="inlineStr">
        <is>
          <t>Savar (GEN-A)</t>
        </is>
      </c>
      <c r="C1270" s="11" t="inlineStr">
        <is>
          <t>Mr. Mustafa Kamal</t>
        </is>
      </c>
      <c r="D1270" s="11" t="inlineStr">
        <is>
          <t>Savar GEN-A-3</t>
        </is>
      </c>
      <c r="E1270" s="11" t="inlineStr">
        <is>
          <t>Md. Tarek Aziz</t>
        </is>
      </c>
      <c r="F1270" s="10" t="n">
        <v>10044</v>
      </c>
      <c r="G1270" s="11" t="inlineStr">
        <is>
          <t>Ashulia-1</t>
        </is>
      </c>
      <c r="H1270" s="10" t="n">
        <v>2096</v>
      </c>
      <c r="I1270" s="11" t="inlineStr">
        <is>
          <t>Md. Belal Hossain</t>
        </is>
      </c>
      <c r="J1270" s="10">
        <f>IF(K1270&gt;0, "Completed", "Pending")</f>
        <v/>
      </c>
      <c r="K1270" s="10">
        <f>COUNTIF('Survey Responses'!F:F, F1270)</f>
        <v/>
      </c>
    </row>
    <row r="1271">
      <c r="A1271" s="10" t="n">
        <v>1270</v>
      </c>
      <c r="B1271" s="11" t="inlineStr">
        <is>
          <t>Savar (GEN-A)</t>
        </is>
      </c>
      <c r="C1271" s="11" t="inlineStr">
        <is>
          <t>Mr. Mustafa Kamal</t>
        </is>
      </c>
      <c r="D1271" s="11" t="inlineStr">
        <is>
          <t>Savar GEN-A-3</t>
        </is>
      </c>
      <c r="E1271" s="11" t="inlineStr">
        <is>
          <t>Md. Tarek Aziz</t>
        </is>
      </c>
      <c r="F1271" s="10" t="n">
        <v>12409</v>
      </c>
      <c r="G1271" s="11" t="inlineStr">
        <is>
          <t>Ashulia-5</t>
        </is>
      </c>
      <c r="H1271" s="10" t="n">
        <v>4135</v>
      </c>
      <c r="I1271" s="11" t="inlineStr">
        <is>
          <t>Mr. Md. Jewel</t>
        </is>
      </c>
      <c r="J1271" s="10">
        <f>IF(K1271&gt;0, "Completed", "Pending")</f>
        <v/>
      </c>
      <c r="K1271" s="10">
        <f>COUNTIF('Survey Responses'!F:F, F1271)</f>
        <v/>
      </c>
    </row>
    <row r="1272">
      <c r="A1272" s="10" t="n">
        <v>1271</v>
      </c>
      <c r="B1272" s="11" t="inlineStr">
        <is>
          <t>Savar (GEN-A)</t>
        </is>
      </c>
      <c r="C1272" s="11" t="inlineStr">
        <is>
          <t>Mr. Mustafa Kamal</t>
        </is>
      </c>
      <c r="D1272" s="11" t="inlineStr">
        <is>
          <t>Savar GEN-A-3</t>
        </is>
      </c>
      <c r="E1272" s="11" t="inlineStr">
        <is>
          <t>Md. Tarek Aziz</t>
        </is>
      </c>
      <c r="F1272" s="10" t="n">
        <v>10058</v>
      </c>
      <c r="G1272" s="11" t="inlineStr">
        <is>
          <t>Savar-3</t>
        </is>
      </c>
      <c r="H1272" s="10" t="n">
        <v>1380</v>
      </c>
      <c r="I1272" s="11" t="inlineStr">
        <is>
          <t>Md. Nizam Uddin</t>
        </is>
      </c>
      <c r="J1272" s="10">
        <f>IF(K1272&gt;0, "Completed", "Pending")</f>
        <v/>
      </c>
      <c r="K1272" s="10">
        <f>COUNTIF('Survey Responses'!F:F, F1272)</f>
        <v/>
      </c>
    </row>
    <row r="1273">
      <c r="A1273" s="10" t="n">
        <v>1272</v>
      </c>
      <c r="B1273" s="11" t="inlineStr">
        <is>
          <t>Savar (GEN-A)</t>
        </is>
      </c>
      <c r="C1273" s="11" t="inlineStr">
        <is>
          <t>Mr. Mustafa Kamal</t>
        </is>
      </c>
      <c r="D1273" s="11" t="inlineStr">
        <is>
          <t>Savar GEN-A-3</t>
        </is>
      </c>
      <c r="E1273" s="11" t="inlineStr">
        <is>
          <t>Md. Tarek Aziz</t>
        </is>
      </c>
      <c r="F1273" s="10" t="n">
        <v>10031</v>
      </c>
      <c r="G1273" s="11" t="inlineStr">
        <is>
          <t>Savar-5</t>
        </is>
      </c>
      <c r="H1273" s="10" t="n">
        <v>9061</v>
      </c>
      <c r="I1273" s="11" t="inlineStr">
        <is>
          <t>Mr. Md. Abu Bashar</t>
        </is>
      </c>
      <c r="J1273" s="10">
        <f>IF(K1273&gt;0, "Completed", "Pending")</f>
        <v/>
      </c>
      <c r="K1273" s="10">
        <f>COUNTIF('Survey Responses'!F:F, F1273)</f>
        <v/>
      </c>
    </row>
    <row r="1274">
      <c r="A1274" s="10" t="n">
        <v>1273</v>
      </c>
      <c r="B1274" s="11" t="inlineStr">
        <is>
          <t>Savar (GEN-A)</t>
        </is>
      </c>
      <c r="C1274" s="11" t="inlineStr">
        <is>
          <t>Mr. Mustafa Kamal</t>
        </is>
      </c>
      <c r="D1274" s="11" t="inlineStr">
        <is>
          <t>Savar GEN-A-3</t>
        </is>
      </c>
      <c r="E1274" s="11" t="inlineStr">
        <is>
          <t>Md. Tarek Aziz</t>
        </is>
      </c>
      <c r="F1274" s="10" t="n">
        <v>10045</v>
      </c>
      <c r="G1274" s="11" t="inlineStr">
        <is>
          <t>Zirani-1</t>
        </is>
      </c>
      <c r="H1274" s="10" t="n">
        <v>1562</v>
      </c>
      <c r="I1274" s="11" t="inlineStr">
        <is>
          <t>Md. Anchharul Haque</t>
        </is>
      </c>
      <c r="J1274" s="10">
        <f>IF(K1274&gt;0, "Completed", "Pending")</f>
        <v/>
      </c>
      <c r="K1274" s="10">
        <f>COUNTIF('Survey Responses'!F:F, F1274)</f>
        <v/>
      </c>
    </row>
    <row r="1275">
      <c r="A1275" s="10" t="n">
        <v>1274</v>
      </c>
      <c r="B1275" s="11" t="inlineStr">
        <is>
          <t>Savar (GEN-A)</t>
        </is>
      </c>
      <c r="C1275" s="11" t="inlineStr">
        <is>
          <t>Mr. Mustafa Kamal</t>
        </is>
      </c>
      <c r="D1275" s="11" t="inlineStr">
        <is>
          <t>Savar GEN-A-3</t>
        </is>
      </c>
      <c r="E1275" s="11" t="inlineStr">
        <is>
          <t>Md. Tarek Aziz</t>
        </is>
      </c>
      <c r="F1275" s="10" t="n">
        <v>13297</v>
      </c>
      <c r="G1275" s="11" t="inlineStr">
        <is>
          <t>Zirani-2</t>
        </is>
      </c>
      <c r="H1275" s="10" t="n">
        <v>6063</v>
      </c>
      <c r="I1275" s="11" t="inlineStr">
        <is>
          <t>Md. Afzal Hossen</t>
        </is>
      </c>
      <c r="J1275" s="10">
        <f>IF(K1275&gt;0, "Completed", "Pending")</f>
        <v/>
      </c>
      <c r="K1275" s="10">
        <f>COUNTIF('Survey Responses'!F:F, F1275)</f>
        <v/>
      </c>
    </row>
    <row r="1276">
      <c r="A1276" s="10" t="n">
        <v>1275</v>
      </c>
      <c r="B1276" s="11" t="inlineStr">
        <is>
          <t>Tangail (GEN-A)</t>
        </is>
      </c>
      <c r="C1276" s="11" t="inlineStr">
        <is>
          <t>Mr. Md. Enamul Haque</t>
        </is>
      </c>
      <c r="D1276" s="11" t="inlineStr">
        <is>
          <t>Ghatail GEN-A-1</t>
        </is>
      </c>
      <c r="E1276" s="11" t="inlineStr">
        <is>
          <t>Md. Anamul Haque</t>
        </is>
      </c>
      <c r="F1276" s="10" t="n">
        <v>10110</v>
      </c>
      <c r="G1276" s="11" t="inlineStr">
        <is>
          <t>Ghatail-1</t>
        </is>
      </c>
      <c r="H1276" s="10" t="n">
        <v>7507</v>
      </c>
      <c r="I1276" s="11" t="inlineStr">
        <is>
          <t>Mr. Moenuddin</t>
        </is>
      </c>
      <c r="J1276" s="10">
        <f>IF(K1276&gt;0, "Completed", "Pending")</f>
        <v/>
      </c>
      <c r="K1276" s="10">
        <f>COUNTIF('Survey Responses'!F:F, F1276)</f>
        <v/>
      </c>
    </row>
    <row r="1277">
      <c r="A1277" s="10" t="n">
        <v>1276</v>
      </c>
      <c r="B1277" s="11" t="inlineStr">
        <is>
          <t>Tangail (GEN-A)</t>
        </is>
      </c>
      <c r="C1277" s="11" t="inlineStr">
        <is>
          <t>Mr. Md. Enamul Haque</t>
        </is>
      </c>
      <c r="D1277" s="11" t="inlineStr">
        <is>
          <t>Ghatail GEN-A-1</t>
        </is>
      </c>
      <c r="E1277" s="11" t="inlineStr">
        <is>
          <t>Md. Anamul Haque</t>
        </is>
      </c>
      <c r="F1277" s="10" t="n">
        <v>10111</v>
      </c>
      <c r="G1277" s="11" t="inlineStr">
        <is>
          <t>Ghatail-2</t>
        </is>
      </c>
      <c r="H1277" s="10" t="n">
        <v>2177</v>
      </c>
      <c r="I1277" s="11" t="inlineStr">
        <is>
          <t>Md. Khadem Ali</t>
        </is>
      </c>
      <c r="J1277" s="10">
        <f>IF(K1277&gt;0, "Completed", "Pending")</f>
        <v/>
      </c>
      <c r="K1277" s="10">
        <f>COUNTIF('Survey Responses'!F:F, F1277)</f>
        <v/>
      </c>
    </row>
    <row r="1278">
      <c r="A1278" s="10" t="n">
        <v>1277</v>
      </c>
      <c r="B1278" s="11" t="inlineStr">
        <is>
          <t>Tangail (GEN-A)</t>
        </is>
      </c>
      <c r="C1278" s="11" t="inlineStr">
        <is>
          <t>Mr. Md. Enamul Haque</t>
        </is>
      </c>
      <c r="D1278" s="11" t="inlineStr">
        <is>
          <t>Ghatail GEN-A-1</t>
        </is>
      </c>
      <c r="E1278" s="11" t="inlineStr">
        <is>
          <t>Md. Anamul Haque</t>
        </is>
      </c>
      <c r="F1278" s="10" t="n">
        <v>14905</v>
      </c>
      <c r="G1278" s="11" t="inlineStr">
        <is>
          <t>Ghatail-3</t>
        </is>
      </c>
      <c r="H1278" s="10" t="n">
        <v>9097</v>
      </c>
      <c r="I1278" s="11" t="inlineStr">
        <is>
          <t>Mr. Md. Mizanur Sikder</t>
        </is>
      </c>
      <c r="J1278" s="10">
        <f>IF(K1278&gt;0, "Completed", "Pending")</f>
        <v/>
      </c>
      <c r="K1278" s="10">
        <f>COUNTIF('Survey Responses'!F:F, F1278)</f>
        <v/>
      </c>
    </row>
    <row r="1279">
      <c r="A1279" s="10" t="n">
        <v>1278</v>
      </c>
      <c r="B1279" s="11" t="inlineStr">
        <is>
          <t>Tangail (GEN-A)</t>
        </is>
      </c>
      <c r="C1279" s="11" t="inlineStr">
        <is>
          <t>Mr. Md. Enamul Haque</t>
        </is>
      </c>
      <c r="D1279" s="11" t="inlineStr">
        <is>
          <t>Ghatail GEN-A-1</t>
        </is>
      </c>
      <c r="E1279" s="11" t="inlineStr">
        <is>
          <t>Md. Anamul Haque</t>
        </is>
      </c>
      <c r="F1279" s="10" t="n">
        <v>10103</v>
      </c>
      <c r="G1279" s="11" t="inlineStr">
        <is>
          <t>Kalihati</t>
        </is>
      </c>
      <c r="H1279" s="10" t="n">
        <v>6391</v>
      </c>
      <c r="I1279" s="11" t="inlineStr">
        <is>
          <t>Mr. Md. Asaduzzaman</t>
        </is>
      </c>
      <c r="J1279" s="10">
        <f>IF(K1279&gt;0, "Completed", "Pending")</f>
        <v/>
      </c>
      <c r="K1279" s="10">
        <f>COUNTIF('Survey Responses'!F:F, F1279)</f>
        <v/>
      </c>
    </row>
    <row r="1280">
      <c r="A1280" s="10" t="n">
        <v>1279</v>
      </c>
      <c r="B1280" s="11" t="inlineStr">
        <is>
          <t>Tangail (GEN-A)</t>
        </is>
      </c>
      <c r="C1280" s="11" t="inlineStr">
        <is>
          <t>Mr. Md. Enamul Haque</t>
        </is>
      </c>
      <c r="D1280" s="11" t="inlineStr">
        <is>
          <t>Ghatail GEN-A-1</t>
        </is>
      </c>
      <c r="E1280" s="11" t="inlineStr">
        <is>
          <t>Md. Anamul Haque</t>
        </is>
      </c>
      <c r="F1280" s="10" t="n">
        <v>12360</v>
      </c>
      <c r="G1280" s="11" t="inlineStr">
        <is>
          <t>Kalihati-1</t>
        </is>
      </c>
      <c r="H1280" s="10" t="n">
        <v>3745</v>
      </c>
      <c r="I1280" s="11" t="inlineStr">
        <is>
          <t>Mr. Md. Shahidullah</t>
        </is>
      </c>
      <c r="J1280" s="10">
        <f>IF(K1280&gt;0, "Completed", "Pending")</f>
        <v/>
      </c>
      <c r="K1280" s="10">
        <f>COUNTIF('Survey Responses'!F:F, F1280)</f>
        <v/>
      </c>
    </row>
    <row r="1281">
      <c r="A1281" s="10" t="n">
        <v>1280</v>
      </c>
      <c r="B1281" s="11" t="inlineStr">
        <is>
          <t>Tangail (GEN-A)</t>
        </is>
      </c>
      <c r="C1281" s="11" t="inlineStr">
        <is>
          <t>Mr. Md. Enamul Haque</t>
        </is>
      </c>
      <c r="D1281" s="11" t="inlineStr">
        <is>
          <t>Ghatail GEN-A-1</t>
        </is>
      </c>
      <c r="E1281" s="11" t="inlineStr">
        <is>
          <t>Md. Anamul Haque</t>
        </is>
      </c>
      <c r="F1281" s="10" t="n">
        <v>13243</v>
      </c>
      <c r="G1281" s="11" t="inlineStr">
        <is>
          <t>Kalihati-2</t>
        </is>
      </c>
      <c r="H1281" s="10" t="n">
        <v>5866</v>
      </c>
      <c r="I1281" s="11" t="inlineStr">
        <is>
          <t>Mr. Md. Nuruzzaman</t>
        </is>
      </c>
      <c r="J1281" s="10">
        <f>IF(K1281&gt;0, "Completed", "Pending")</f>
        <v/>
      </c>
      <c r="K1281" s="10">
        <f>COUNTIF('Survey Responses'!F:F, F1281)</f>
        <v/>
      </c>
    </row>
    <row r="1282">
      <c r="A1282" s="10" t="n">
        <v>1281</v>
      </c>
      <c r="B1282" s="11" t="inlineStr">
        <is>
          <t>Tangail (GEN-A)</t>
        </is>
      </c>
      <c r="C1282" s="11" t="inlineStr">
        <is>
          <t>Mr. Md. Enamul Haque</t>
        </is>
      </c>
      <c r="D1282" s="11" t="inlineStr">
        <is>
          <t>Ghatail GEN-A-1</t>
        </is>
      </c>
      <c r="E1282" s="11" t="inlineStr">
        <is>
          <t>Md. Anamul Haque</t>
        </is>
      </c>
      <c r="F1282" s="10" t="n">
        <v>13302</v>
      </c>
      <c r="G1282" s="11" t="inlineStr">
        <is>
          <t>Sagardighi-1</t>
        </is>
      </c>
      <c r="H1282" s="10" t="n">
        <v>1480</v>
      </c>
      <c r="I1282" s="11" t="inlineStr">
        <is>
          <t>Md. Abul Khayer</t>
        </is>
      </c>
      <c r="J1282" s="10">
        <f>IF(K1282&gt;0, "Completed", "Pending")</f>
        <v/>
      </c>
      <c r="K1282" s="10">
        <f>COUNTIF('Survey Responses'!F:F, F1282)</f>
        <v/>
      </c>
    </row>
    <row r="1283">
      <c r="A1283" s="10" t="n">
        <v>1282</v>
      </c>
      <c r="B1283" s="11" t="inlineStr">
        <is>
          <t>Tangail (GEN-A)</t>
        </is>
      </c>
      <c r="C1283" s="11" t="inlineStr">
        <is>
          <t>Mr. Md. Enamul Haque</t>
        </is>
      </c>
      <c r="D1283" s="11" t="inlineStr">
        <is>
          <t>Jamalpur GEN-A-1</t>
        </is>
      </c>
      <c r="E1283" s="11" t="inlineStr">
        <is>
          <t>Mr. Md. Mehdi Al-Amin</t>
        </is>
      </c>
      <c r="F1283" s="10" t="n">
        <v>10116</v>
      </c>
      <c r="G1283" s="11" t="inlineStr">
        <is>
          <t>Jamalpur-1</t>
        </is>
      </c>
      <c r="H1283" s="10" t="n">
        <v>1678</v>
      </c>
      <c r="I1283" s="11" t="inlineStr">
        <is>
          <t>Md. Anarul Haque</t>
        </is>
      </c>
      <c r="J1283" s="10">
        <f>IF(K1283&gt;0, "Completed", "Pending")</f>
        <v/>
      </c>
      <c r="K1283" s="10">
        <f>COUNTIF('Survey Responses'!F:F, F1283)</f>
        <v/>
      </c>
    </row>
    <row r="1284">
      <c r="A1284" s="10" t="n">
        <v>1283</v>
      </c>
      <c r="B1284" s="11" t="inlineStr">
        <is>
          <t>Tangail (GEN-A)</t>
        </is>
      </c>
      <c r="C1284" s="11" t="inlineStr">
        <is>
          <t>Mr. Md. Enamul Haque</t>
        </is>
      </c>
      <c r="D1284" s="11" t="inlineStr">
        <is>
          <t>Jamalpur GEN-A-1</t>
        </is>
      </c>
      <c r="E1284" s="11" t="inlineStr">
        <is>
          <t>Mr. Md. Mehdi Al-Amin</t>
        </is>
      </c>
      <c r="F1284" s="10" t="n">
        <v>10117</v>
      </c>
      <c r="G1284" s="11" t="inlineStr">
        <is>
          <t>Jamalpur-4</t>
        </is>
      </c>
      <c r="H1284" s="10" t="n">
        <v>1800</v>
      </c>
      <c r="I1284" s="11" t="inlineStr">
        <is>
          <t>Suman Chandra Mondal</t>
        </is>
      </c>
      <c r="J1284" s="10">
        <f>IF(K1284&gt;0, "Completed", "Pending")</f>
        <v/>
      </c>
      <c r="K1284" s="10">
        <f>COUNTIF('Survey Responses'!F:F, F1284)</f>
        <v/>
      </c>
    </row>
    <row r="1285">
      <c r="A1285" s="10" t="n">
        <v>1284</v>
      </c>
      <c r="B1285" s="11" t="inlineStr">
        <is>
          <t>Tangail (GEN-A)</t>
        </is>
      </c>
      <c r="C1285" s="11" t="inlineStr">
        <is>
          <t>Mr. Md. Enamul Haque</t>
        </is>
      </c>
      <c r="D1285" s="11" t="inlineStr">
        <is>
          <t>Jamalpur GEN-A-1</t>
        </is>
      </c>
      <c r="E1285" s="11" t="inlineStr">
        <is>
          <t>Mr. Md. Mehdi Al-Amin</t>
        </is>
      </c>
      <c r="F1285" s="10" t="n">
        <v>10118</v>
      </c>
      <c r="G1285" s="11" t="inlineStr">
        <is>
          <t>Jamalpur-5</t>
        </is>
      </c>
      <c r="H1285" s="10" t="n">
        <v>7626</v>
      </c>
      <c r="I1285" s="11" t="inlineStr">
        <is>
          <t>Mr. Md. Sadikul Islam</t>
        </is>
      </c>
      <c r="J1285" s="10">
        <f>IF(K1285&gt;0, "Completed", "Pending")</f>
        <v/>
      </c>
      <c r="K1285" s="10">
        <f>COUNTIF('Survey Responses'!F:F, F1285)</f>
        <v/>
      </c>
    </row>
    <row r="1286">
      <c r="A1286" s="10" t="n">
        <v>1285</v>
      </c>
      <c r="B1286" s="11" t="inlineStr">
        <is>
          <t>Tangail (GEN-A)</t>
        </is>
      </c>
      <c r="C1286" s="11" t="inlineStr">
        <is>
          <t>Mr. Md. Enamul Haque</t>
        </is>
      </c>
      <c r="D1286" s="11" t="inlineStr">
        <is>
          <t>Jamalpur GEN-A-1</t>
        </is>
      </c>
      <c r="E1286" s="11" t="inlineStr">
        <is>
          <t>Mr. Md. Mehdi Al-Amin</t>
        </is>
      </c>
      <c r="F1286" s="10" t="n">
        <v>10119</v>
      </c>
      <c r="G1286" s="11" t="inlineStr">
        <is>
          <t>Madergonj</t>
        </is>
      </c>
      <c r="H1286" s="10" t="n">
        <v>2604</v>
      </c>
      <c r="I1286" s="11" t="inlineStr">
        <is>
          <t>Shonjoy Kumar</t>
        </is>
      </c>
      <c r="J1286" s="10">
        <f>IF(K1286&gt;0, "Completed", "Pending")</f>
        <v/>
      </c>
      <c r="K1286" s="10">
        <f>COUNTIF('Survey Responses'!F:F, F1286)</f>
        <v/>
      </c>
    </row>
    <row r="1287">
      <c r="A1287" s="10" t="n">
        <v>1286</v>
      </c>
      <c r="B1287" s="11" t="inlineStr">
        <is>
          <t>Tangail (GEN-A)</t>
        </is>
      </c>
      <c r="C1287" s="11" t="inlineStr">
        <is>
          <t>Mr. Md. Enamul Haque</t>
        </is>
      </c>
      <c r="D1287" s="11" t="inlineStr">
        <is>
          <t>Jamalpur GEN-A-1</t>
        </is>
      </c>
      <c r="E1287" s="11" t="inlineStr">
        <is>
          <t>Mr. Md. Mehdi Al-Amin</t>
        </is>
      </c>
      <c r="F1287" s="10" t="n">
        <v>13087</v>
      </c>
      <c r="G1287" s="11" t="inlineStr">
        <is>
          <t>Madergonj-2</t>
        </is>
      </c>
      <c r="H1287" s="10" t="n">
        <v>5465</v>
      </c>
      <c r="I1287" s="11" t="inlineStr">
        <is>
          <t>Mr. Md. Rashed Hossain Rony</t>
        </is>
      </c>
      <c r="J1287" s="10">
        <f>IF(K1287&gt;0, "Completed", "Pending")</f>
        <v/>
      </c>
      <c r="K1287" s="10">
        <f>COUNTIF('Survey Responses'!F:F, F1287)</f>
        <v/>
      </c>
    </row>
    <row r="1288">
      <c r="A1288" s="10" t="n">
        <v>1287</v>
      </c>
      <c r="B1288" s="11" t="inlineStr">
        <is>
          <t>Tangail (GEN-A)</t>
        </is>
      </c>
      <c r="C1288" s="11" t="inlineStr">
        <is>
          <t>Mr. Md. Enamul Haque</t>
        </is>
      </c>
      <c r="D1288" s="11" t="inlineStr">
        <is>
          <t>Jamalpur GEN-A-1</t>
        </is>
      </c>
      <c r="E1288" s="11" t="inlineStr">
        <is>
          <t>Mr. Md. Mehdi Al-Amin</t>
        </is>
      </c>
      <c r="F1288" s="10" t="n">
        <v>10114</v>
      </c>
      <c r="G1288" s="11" t="inlineStr">
        <is>
          <t>Melandah</t>
        </is>
      </c>
      <c r="H1288" s="10" t="n">
        <v>1263</v>
      </c>
      <c r="I1288" s="11" t="inlineStr">
        <is>
          <t>S. M. Shah Alam</t>
        </is>
      </c>
      <c r="J1288" s="10">
        <f>IF(K1288&gt;0, "Completed", "Pending")</f>
        <v/>
      </c>
      <c r="K1288" s="10">
        <f>COUNTIF('Survey Responses'!F:F, F1288)</f>
        <v/>
      </c>
    </row>
    <row r="1289">
      <c r="A1289" s="10" t="n">
        <v>1288</v>
      </c>
      <c r="B1289" s="11" t="inlineStr">
        <is>
          <t>Tangail (GEN-A)</t>
        </is>
      </c>
      <c r="C1289" s="11" t="inlineStr">
        <is>
          <t>Mr. Md. Enamul Haque</t>
        </is>
      </c>
      <c r="D1289" s="11" t="inlineStr">
        <is>
          <t>Jamalpur GEN-A-1</t>
        </is>
      </c>
      <c r="E1289" s="11" t="inlineStr">
        <is>
          <t>Mr. Md. Mehdi Al-Amin</t>
        </is>
      </c>
      <c r="F1289" s="10" t="n">
        <v>12288</v>
      </c>
      <c r="G1289" s="11" t="inlineStr">
        <is>
          <t>Melandah-2</t>
        </is>
      </c>
      <c r="H1289" s="10" t="n">
        <v>3667</v>
      </c>
      <c r="I1289" s="11" t="inlineStr">
        <is>
          <t>Mr. Mohammad Ali</t>
        </is>
      </c>
      <c r="J1289" s="10">
        <f>IF(K1289&gt;0, "Completed", "Pending")</f>
        <v/>
      </c>
      <c r="K1289" s="10">
        <f>COUNTIF('Survey Responses'!F:F, F1289)</f>
        <v/>
      </c>
    </row>
    <row r="1290">
      <c r="A1290" s="10" t="n">
        <v>1289</v>
      </c>
      <c r="B1290" s="11" t="inlineStr">
        <is>
          <t>Tangail (GEN-A)</t>
        </is>
      </c>
      <c r="C1290" s="11" t="inlineStr">
        <is>
          <t>Mr. Md. Enamul Haque</t>
        </is>
      </c>
      <c r="D1290" s="11" t="inlineStr">
        <is>
          <t>Jamalpur GEN-A-2</t>
        </is>
      </c>
      <c r="E1290" s="11" t="inlineStr">
        <is>
          <t xml:space="preserve">Mr. Md. Uzzal Hossain         </t>
        </is>
      </c>
      <c r="F1290" s="10" t="n">
        <v>10115</v>
      </c>
      <c r="G1290" s="11" t="inlineStr">
        <is>
          <t>Jamalpur-2</t>
        </is>
      </c>
      <c r="H1290" s="10" t="n">
        <v>3809</v>
      </c>
      <c r="I1290" s="11" t="inlineStr">
        <is>
          <t>Mr. Md. Tohedul Islam</t>
        </is>
      </c>
      <c r="J1290" s="10">
        <f>IF(K1290&gt;0, "Completed", "Pending")</f>
        <v/>
      </c>
      <c r="K1290" s="10">
        <f>COUNTIF('Survey Responses'!F:F, F1290)</f>
        <v/>
      </c>
    </row>
    <row r="1291">
      <c r="A1291" s="10" t="n">
        <v>1290</v>
      </c>
      <c r="B1291" s="11" t="inlineStr">
        <is>
          <t>Tangail (GEN-A)</t>
        </is>
      </c>
      <c r="C1291" s="11" t="inlineStr">
        <is>
          <t>Mr. Md. Enamul Haque</t>
        </is>
      </c>
      <c r="D1291" s="11" t="inlineStr">
        <is>
          <t>Jamalpur GEN-A-2</t>
        </is>
      </c>
      <c r="E1291" s="11" t="inlineStr">
        <is>
          <t xml:space="preserve">Mr. Md. Uzzal Hossain         </t>
        </is>
      </c>
      <c r="F1291" s="10" t="n">
        <v>10113</v>
      </c>
      <c r="G1291" s="11" t="inlineStr">
        <is>
          <t>Jamalpur-3</t>
        </is>
      </c>
      <c r="H1291" s="10" t="n">
        <v>2773</v>
      </c>
      <c r="I1291" s="11" t="inlineStr">
        <is>
          <t>Md. Saiful Islam</t>
        </is>
      </c>
      <c r="J1291" s="10">
        <f>IF(K1291&gt;0, "Completed", "Pending")</f>
        <v/>
      </c>
      <c r="K1291" s="10">
        <f>COUNTIF('Survey Responses'!F:F, F1291)</f>
        <v/>
      </c>
    </row>
    <row r="1292">
      <c r="A1292" s="10" t="n">
        <v>1291</v>
      </c>
      <c r="B1292" s="11" t="inlineStr">
        <is>
          <t>Tangail (GEN-A)</t>
        </is>
      </c>
      <c r="C1292" s="11" t="inlineStr">
        <is>
          <t>Mr. Md. Enamul Haque</t>
        </is>
      </c>
      <c r="D1292" s="11" t="inlineStr">
        <is>
          <t>Jamalpur GEN-A-2</t>
        </is>
      </c>
      <c r="E1292" s="11" t="inlineStr">
        <is>
          <t xml:space="preserve">Mr. Md. Uzzal Hossain         </t>
        </is>
      </c>
      <c r="F1292" s="10" t="n">
        <v>10120</v>
      </c>
      <c r="G1292" s="11" t="inlineStr">
        <is>
          <t>Nandina</t>
        </is>
      </c>
      <c r="H1292" s="10" t="n">
        <v>2680</v>
      </c>
      <c r="I1292" s="11" t="inlineStr">
        <is>
          <t>Md. Mehedi Hasan</t>
        </is>
      </c>
      <c r="J1292" s="10">
        <f>IF(K1292&gt;0, "Completed", "Pending")</f>
        <v/>
      </c>
      <c r="K1292" s="10">
        <f>COUNTIF('Survey Responses'!F:F, F1292)</f>
        <v/>
      </c>
    </row>
    <row r="1293">
      <c r="A1293" s="10" t="n">
        <v>1292</v>
      </c>
      <c r="B1293" s="11" t="inlineStr">
        <is>
          <t>Tangail (GEN-A)</t>
        </is>
      </c>
      <c r="C1293" s="11" t="inlineStr">
        <is>
          <t>Mr. Md. Enamul Haque</t>
        </is>
      </c>
      <c r="D1293" s="11" t="inlineStr">
        <is>
          <t>Jamalpur GEN-A-2</t>
        </is>
      </c>
      <c r="E1293" s="11" t="inlineStr">
        <is>
          <t xml:space="preserve">Mr. Md. Uzzal Hossain         </t>
        </is>
      </c>
      <c r="F1293" s="10" t="n">
        <v>12646</v>
      </c>
      <c r="G1293" s="11" t="inlineStr">
        <is>
          <t>Nandina-2</t>
        </is>
      </c>
      <c r="H1293" s="10" t="n">
        <v>1078</v>
      </c>
      <c r="I1293" s="11" t="inlineStr">
        <is>
          <t>Md. Abdul Aziz</t>
        </is>
      </c>
      <c r="J1293" s="10">
        <f>IF(K1293&gt;0, "Completed", "Pending")</f>
        <v/>
      </c>
      <c r="K1293" s="10">
        <f>COUNTIF('Survey Responses'!F:F, F1293)</f>
        <v/>
      </c>
    </row>
    <row r="1294">
      <c r="A1294" s="10" t="n">
        <v>1293</v>
      </c>
      <c r="B1294" s="11" t="inlineStr">
        <is>
          <t>Tangail (GEN-A)</t>
        </is>
      </c>
      <c r="C1294" s="11" t="inlineStr">
        <is>
          <t>Mr. Md. Enamul Haque</t>
        </is>
      </c>
      <c r="D1294" s="11" t="inlineStr">
        <is>
          <t>Jamalpur GEN-A-2</t>
        </is>
      </c>
      <c r="E1294" s="11" t="inlineStr">
        <is>
          <t xml:space="preserve">Mr. Md. Uzzal Hossain         </t>
        </is>
      </c>
      <c r="F1294" s="10" t="n">
        <v>10108</v>
      </c>
      <c r="G1294" s="11" t="inlineStr">
        <is>
          <t>Sarishabari-1</t>
        </is>
      </c>
      <c r="H1294" s="10" t="n">
        <v>3015</v>
      </c>
      <c r="I1294" s="11" t="inlineStr">
        <is>
          <t>Swapan Chandra Dev Sharma</t>
        </is>
      </c>
      <c r="J1294" s="10">
        <f>IF(K1294&gt;0, "Completed", "Pending")</f>
        <v/>
      </c>
      <c r="K1294" s="10">
        <f>COUNTIF('Survey Responses'!F:F, F1294)</f>
        <v/>
      </c>
    </row>
    <row r="1295">
      <c r="A1295" s="10" t="n">
        <v>1294</v>
      </c>
      <c r="B1295" s="11" t="inlineStr">
        <is>
          <t>Tangail (GEN-A)</t>
        </is>
      </c>
      <c r="C1295" s="11" t="inlineStr">
        <is>
          <t>Mr. Md. Enamul Haque</t>
        </is>
      </c>
      <c r="D1295" s="11" t="inlineStr">
        <is>
          <t>Jamalpur GEN-A-2</t>
        </is>
      </c>
      <c r="E1295" s="11" t="inlineStr">
        <is>
          <t xml:space="preserve">Mr. Md. Uzzal Hossain         </t>
        </is>
      </c>
      <c r="F1295" s="10" t="n">
        <v>10109</v>
      </c>
      <c r="G1295" s="11" t="inlineStr">
        <is>
          <t>Sarishabari-2</t>
        </is>
      </c>
      <c r="H1295" s="10" t="n">
        <v>971</v>
      </c>
      <c r="I1295" s="11" t="inlineStr">
        <is>
          <t>Md. Ahad Ali</t>
        </is>
      </c>
      <c r="J1295" s="10">
        <f>IF(K1295&gt;0, "Completed", "Pending")</f>
        <v/>
      </c>
      <c r="K1295" s="10">
        <f>COUNTIF('Survey Responses'!F:F, F1295)</f>
        <v/>
      </c>
    </row>
    <row r="1296">
      <c r="A1296" s="10" t="n">
        <v>1295</v>
      </c>
      <c r="B1296" s="11" t="inlineStr">
        <is>
          <t>Tangail (GEN-A)</t>
        </is>
      </c>
      <c r="C1296" s="11" t="inlineStr">
        <is>
          <t>Mr. Md. Enamul Haque</t>
        </is>
      </c>
      <c r="D1296" s="11" t="inlineStr">
        <is>
          <t>Jamalpur GEN-A-2</t>
        </is>
      </c>
      <c r="E1296" s="11" t="inlineStr">
        <is>
          <t xml:space="preserve">Mr. Md. Uzzal Hossain         </t>
        </is>
      </c>
      <c r="F1296" s="10" t="n">
        <v>13196</v>
      </c>
      <c r="G1296" s="11" t="inlineStr">
        <is>
          <t>Sarishabari-3</t>
        </is>
      </c>
      <c r="H1296" s="10" t="n">
        <v>5795</v>
      </c>
      <c r="I1296" s="11" t="inlineStr">
        <is>
          <t>Mr. Md. Momen Shakil</t>
        </is>
      </c>
      <c r="J1296" s="10">
        <f>IF(K1296&gt;0, "Completed", "Pending")</f>
        <v/>
      </c>
      <c r="K1296" s="10">
        <f>COUNTIF('Survey Responses'!F:F, F1296)</f>
        <v/>
      </c>
    </row>
    <row r="1297">
      <c r="A1297" s="10" t="n">
        <v>1296</v>
      </c>
      <c r="B1297" s="11" t="inlineStr">
        <is>
          <t>Tangail (GEN-A)</t>
        </is>
      </c>
      <c r="C1297" s="11" t="inlineStr">
        <is>
          <t>Mr. Md. Enamul Haque</t>
        </is>
      </c>
      <c r="D1297" s="11" t="inlineStr">
        <is>
          <t>Modhupur GEN-A-1</t>
        </is>
      </c>
      <c r="E1297" s="11" t="inlineStr">
        <is>
          <t>Mr. Subroto Kumar Datta</t>
        </is>
      </c>
      <c r="F1297" s="10" t="n">
        <v>10112</v>
      </c>
      <c r="G1297" s="11" t="inlineStr">
        <is>
          <t>Dhanbari</t>
        </is>
      </c>
      <c r="H1297" s="10" t="n">
        <v>2816</v>
      </c>
      <c r="I1297" s="11" t="inlineStr">
        <is>
          <t>Alamgir Hossain</t>
        </is>
      </c>
      <c r="J1297" s="10">
        <f>IF(K1297&gt;0, "Completed", "Pending")</f>
        <v/>
      </c>
      <c r="K1297" s="10">
        <f>COUNTIF('Survey Responses'!F:F, F1297)</f>
        <v/>
      </c>
    </row>
    <row r="1298">
      <c r="A1298" s="10" t="n">
        <v>1297</v>
      </c>
      <c r="B1298" s="11" t="inlineStr">
        <is>
          <t>Tangail (GEN-A)</t>
        </is>
      </c>
      <c r="C1298" s="11" t="inlineStr">
        <is>
          <t>Mr. Md. Enamul Haque</t>
        </is>
      </c>
      <c r="D1298" s="11" t="inlineStr">
        <is>
          <t>Modhupur GEN-A-1</t>
        </is>
      </c>
      <c r="E1298" s="11" t="inlineStr">
        <is>
          <t>Mr. Subroto Kumar Datta</t>
        </is>
      </c>
      <c r="F1298" s="10" t="n">
        <v>13134</v>
      </c>
      <c r="G1298" s="11" t="inlineStr">
        <is>
          <t>Dhanbari-2</t>
        </is>
      </c>
      <c r="H1298" s="10" t="n">
        <v>5742</v>
      </c>
      <c r="I1298" s="11" t="inlineStr">
        <is>
          <t>Mr. Md. Alal Miah</t>
        </is>
      </c>
      <c r="J1298" s="10">
        <f>IF(K1298&gt;0, "Completed", "Pending")</f>
        <v/>
      </c>
      <c r="K1298" s="10">
        <f>COUNTIF('Survey Responses'!F:F, F1298)</f>
        <v/>
      </c>
    </row>
    <row r="1299">
      <c r="A1299" s="10" t="n">
        <v>1298</v>
      </c>
      <c r="B1299" s="11" t="inlineStr">
        <is>
          <t>Tangail (GEN-A)</t>
        </is>
      </c>
      <c r="C1299" s="11" t="inlineStr">
        <is>
          <t>Mr. Md. Enamul Haque</t>
        </is>
      </c>
      <c r="D1299" s="11" t="inlineStr">
        <is>
          <t>Modhupur GEN-A-1</t>
        </is>
      </c>
      <c r="E1299" s="11" t="inlineStr">
        <is>
          <t>Mr. Subroto Kumar Datta</t>
        </is>
      </c>
      <c r="F1299" s="10" t="n">
        <v>12217</v>
      </c>
      <c r="G1299" s="11" t="inlineStr">
        <is>
          <t>Gopalpur-1</t>
        </is>
      </c>
      <c r="H1299" s="10" t="n">
        <v>2150</v>
      </c>
      <c r="I1299" s="11" t="inlineStr">
        <is>
          <t>Nasir Uddin</t>
        </is>
      </c>
      <c r="J1299" s="10">
        <f>IF(K1299&gt;0, "Completed", "Pending")</f>
        <v/>
      </c>
      <c r="K1299" s="10">
        <f>COUNTIF('Survey Responses'!F:F, F1299)</f>
        <v/>
      </c>
    </row>
    <row r="1300">
      <c r="A1300" s="10" t="n">
        <v>1299</v>
      </c>
      <c r="B1300" s="11" t="inlineStr">
        <is>
          <t>Tangail (GEN-A)</t>
        </is>
      </c>
      <c r="C1300" s="11" t="inlineStr">
        <is>
          <t>Mr. Md. Enamul Haque</t>
        </is>
      </c>
      <c r="D1300" s="11" t="inlineStr">
        <is>
          <t>Modhupur GEN-A-1</t>
        </is>
      </c>
      <c r="E1300" s="11" t="inlineStr">
        <is>
          <t>Mr. Subroto Kumar Datta</t>
        </is>
      </c>
      <c r="F1300" s="10" t="n">
        <v>10106</v>
      </c>
      <c r="G1300" s="11" t="inlineStr">
        <is>
          <t xml:space="preserve">Modhupur-1 </t>
        </is>
      </c>
      <c r="H1300" s="10" t="n">
        <v>3105</v>
      </c>
      <c r="I1300" s="11" t="inlineStr">
        <is>
          <t>Md. Khademul Islam</t>
        </is>
      </c>
      <c r="J1300" s="10">
        <f>IF(K1300&gt;0, "Completed", "Pending")</f>
        <v/>
      </c>
      <c r="K1300" s="10">
        <f>COUNTIF('Survey Responses'!F:F, F1300)</f>
        <v/>
      </c>
    </row>
    <row r="1301">
      <c r="A1301" s="10" t="n">
        <v>1300</v>
      </c>
      <c r="B1301" s="11" t="inlineStr">
        <is>
          <t>Tangail (GEN-A)</t>
        </is>
      </c>
      <c r="C1301" s="11" t="inlineStr">
        <is>
          <t>Mr. Md. Enamul Haque</t>
        </is>
      </c>
      <c r="D1301" s="11" t="inlineStr">
        <is>
          <t>Modhupur GEN-A-1</t>
        </is>
      </c>
      <c r="E1301" s="11" t="inlineStr">
        <is>
          <t>Mr. Subroto Kumar Datta</t>
        </is>
      </c>
      <c r="F1301" s="10" t="n">
        <v>10107</v>
      </c>
      <c r="G1301" s="11" t="inlineStr">
        <is>
          <t>Modhupur-2</t>
        </is>
      </c>
      <c r="H1301" s="10" t="n">
        <v>2314</v>
      </c>
      <c r="I1301" s="11" t="inlineStr">
        <is>
          <t>Md. Rubel Islam</t>
        </is>
      </c>
      <c r="J1301" s="10">
        <f>IF(K1301&gt;0, "Completed", "Pending")</f>
        <v/>
      </c>
      <c r="K1301" s="10">
        <f>COUNTIF('Survey Responses'!F:F, F1301)</f>
        <v/>
      </c>
    </row>
    <row r="1302">
      <c r="A1302" s="10" t="n">
        <v>1301</v>
      </c>
      <c r="B1302" s="11" t="inlineStr">
        <is>
          <t>Tangail (GEN-A)</t>
        </is>
      </c>
      <c r="C1302" s="11" t="inlineStr">
        <is>
          <t>Mr. Md. Enamul Haque</t>
        </is>
      </c>
      <c r="D1302" s="11" t="inlineStr">
        <is>
          <t>Modhupur GEN-A-1</t>
        </is>
      </c>
      <c r="E1302" s="11" t="inlineStr">
        <is>
          <t>Mr. Subroto Kumar Datta</t>
        </is>
      </c>
      <c r="F1302" s="10" t="n">
        <v>12574</v>
      </c>
      <c r="G1302" s="11" t="inlineStr">
        <is>
          <t>Modhupur-3</t>
        </is>
      </c>
      <c r="H1302" s="10" t="n">
        <v>5202</v>
      </c>
      <c r="I1302" s="11" t="inlineStr">
        <is>
          <t>Mr. Md. Moklesur Rahman</t>
        </is>
      </c>
      <c r="J1302" s="10">
        <f>IF(K1302&gt;0, "Completed", "Pending")</f>
        <v/>
      </c>
      <c r="K1302" s="10">
        <f>COUNTIF('Survey Responses'!F:F, F1302)</f>
        <v/>
      </c>
    </row>
    <row r="1303">
      <c r="A1303" s="10" t="n">
        <v>1302</v>
      </c>
      <c r="B1303" s="11" t="inlineStr">
        <is>
          <t>Tangail (GEN-A)</t>
        </is>
      </c>
      <c r="C1303" s="11" t="inlineStr">
        <is>
          <t>Mr. Md. Enamul Haque</t>
        </is>
      </c>
      <c r="D1303" s="11" t="inlineStr">
        <is>
          <t>Modhupur GEN-A-1</t>
        </is>
      </c>
      <c r="E1303" s="11" t="inlineStr">
        <is>
          <t>Mr. Subroto Kumar Datta</t>
        </is>
      </c>
      <c r="F1303" s="10" t="n">
        <v>14904</v>
      </c>
      <c r="G1303" s="11" t="inlineStr">
        <is>
          <t>Modhupur-4</t>
        </is>
      </c>
      <c r="H1303" s="10" t="n">
        <v>9096</v>
      </c>
      <c r="I1303" s="11" t="inlineStr">
        <is>
          <t>Mr. Md. Mafijul Islam</t>
        </is>
      </c>
      <c r="J1303" s="10">
        <f>IF(K1303&gt;0, "Completed", "Pending")</f>
        <v/>
      </c>
      <c r="K1303" s="10">
        <f>COUNTIF('Survey Responses'!F:F, F1303)</f>
        <v/>
      </c>
    </row>
    <row r="1304">
      <c r="A1304" s="10" t="n">
        <v>1303</v>
      </c>
      <c r="B1304" s="11" t="inlineStr">
        <is>
          <t>Tangail (GEN-A)</t>
        </is>
      </c>
      <c r="C1304" s="11" t="inlineStr">
        <is>
          <t>Mr. Md. Enamul Haque</t>
        </is>
      </c>
      <c r="D1304" s="11" t="inlineStr">
        <is>
          <t>Sherpur GEN-A-1</t>
        </is>
      </c>
      <c r="E1304" s="11" t="inlineStr">
        <is>
          <t>Mr. Md. Taizul Islam</t>
        </is>
      </c>
      <c r="F1304" s="10" t="n">
        <v>13300</v>
      </c>
      <c r="G1304" s="11" t="inlineStr">
        <is>
          <t>Jhenaigati-1</t>
        </is>
      </c>
      <c r="H1304" s="10" t="n">
        <v>5915</v>
      </c>
      <c r="I1304" s="11" t="inlineStr">
        <is>
          <t>Mr. Md. Ataur Rahman</t>
        </is>
      </c>
      <c r="J1304" s="10">
        <f>IF(K1304&gt;0, "Completed", "Pending")</f>
        <v/>
      </c>
      <c r="K1304" s="10">
        <f>COUNTIF('Survey Responses'!F:F, F1304)</f>
        <v/>
      </c>
    </row>
    <row r="1305">
      <c r="A1305" s="10" t="n">
        <v>1304</v>
      </c>
      <c r="B1305" s="11" t="inlineStr">
        <is>
          <t>Tangail (GEN-A)</t>
        </is>
      </c>
      <c r="C1305" s="11" t="inlineStr">
        <is>
          <t>Mr. Md. Enamul Haque</t>
        </is>
      </c>
      <c r="D1305" s="11" t="inlineStr">
        <is>
          <t>Sherpur GEN-A-1</t>
        </is>
      </c>
      <c r="E1305" s="11" t="inlineStr">
        <is>
          <t>Mr. Md. Taizul Islam</t>
        </is>
      </c>
      <c r="F1305" s="10" t="n">
        <v>11690</v>
      </c>
      <c r="G1305" s="11" t="inlineStr">
        <is>
          <t>Nakla (Sherpur)-1</t>
        </is>
      </c>
      <c r="H1305" s="10" t="n">
        <v>3198</v>
      </c>
      <c r="I1305" s="11" t="inlineStr">
        <is>
          <t>Md. Haidar Ali</t>
        </is>
      </c>
      <c r="J1305" s="10">
        <f>IF(K1305&gt;0, "Completed", "Pending")</f>
        <v/>
      </c>
      <c r="K1305" s="10">
        <f>COUNTIF('Survey Responses'!F:F, F1305)</f>
        <v/>
      </c>
    </row>
    <row r="1306">
      <c r="A1306" s="10" t="n">
        <v>1305</v>
      </c>
      <c r="B1306" s="11" t="inlineStr">
        <is>
          <t>Tangail (GEN-A)</t>
        </is>
      </c>
      <c r="C1306" s="11" t="inlineStr">
        <is>
          <t>Mr. Md. Enamul Haque</t>
        </is>
      </c>
      <c r="D1306" s="11" t="inlineStr">
        <is>
          <t>Sherpur GEN-A-1</t>
        </is>
      </c>
      <c r="E1306" s="11" t="inlineStr">
        <is>
          <t>Mr. Md. Taizul Islam</t>
        </is>
      </c>
      <c r="F1306" s="10" t="n">
        <v>14575</v>
      </c>
      <c r="G1306" s="11" t="inlineStr">
        <is>
          <t>Nakla (Sherpur)-2</t>
        </is>
      </c>
      <c r="H1306" s="10" t="n">
        <v>7644</v>
      </c>
      <c r="I1306" s="11" t="inlineStr">
        <is>
          <t>Mr. Md. Mostafizur Rahman</t>
        </is>
      </c>
      <c r="J1306" s="10">
        <f>IF(K1306&gt;0, "Completed", "Pending")</f>
        <v/>
      </c>
      <c r="K1306" s="10">
        <f>COUNTIF('Survey Responses'!F:F, F1306)</f>
        <v/>
      </c>
    </row>
    <row r="1307">
      <c r="A1307" s="10" t="n">
        <v>1306</v>
      </c>
      <c r="B1307" s="11" t="inlineStr">
        <is>
          <t>Tangail (GEN-A)</t>
        </is>
      </c>
      <c r="C1307" s="11" t="inlineStr">
        <is>
          <t>Mr. Md. Enamul Haque</t>
        </is>
      </c>
      <c r="D1307" s="11" t="inlineStr">
        <is>
          <t>Sherpur GEN-A-1</t>
        </is>
      </c>
      <c r="E1307" s="11" t="inlineStr">
        <is>
          <t>Mr. Md. Taizul Islam</t>
        </is>
      </c>
      <c r="F1307" s="10" t="n">
        <v>10121</v>
      </c>
      <c r="G1307" s="11" t="inlineStr">
        <is>
          <t>Nalitabari</t>
        </is>
      </c>
      <c r="H1307" s="10" t="n">
        <v>3668</v>
      </c>
      <c r="I1307" s="11" t="inlineStr">
        <is>
          <t>Mr. Md. Majedul Islam</t>
        </is>
      </c>
      <c r="J1307" s="10">
        <f>IF(K1307&gt;0, "Completed", "Pending")</f>
        <v/>
      </c>
      <c r="K1307" s="10">
        <f>COUNTIF('Survey Responses'!F:F, F1307)</f>
        <v/>
      </c>
    </row>
    <row r="1308">
      <c r="A1308" s="10" t="n">
        <v>1307</v>
      </c>
      <c r="B1308" s="11" t="inlineStr">
        <is>
          <t>Tangail (GEN-A)</t>
        </is>
      </c>
      <c r="C1308" s="11" t="inlineStr">
        <is>
          <t>Mr. Md. Enamul Haque</t>
        </is>
      </c>
      <c r="D1308" s="11" t="inlineStr">
        <is>
          <t>Sherpur GEN-A-1</t>
        </is>
      </c>
      <c r="E1308" s="11" t="inlineStr">
        <is>
          <t>Mr. Md. Taizul Islam</t>
        </is>
      </c>
      <c r="F1308" s="10" t="n">
        <v>12569</v>
      </c>
      <c r="G1308" s="11" t="inlineStr">
        <is>
          <t>Nalitabari-2</t>
        </is>
      </c>
      <c r="H1308" s="10" t="n">
        <v>4189</v>
      </c>
      <c r="I1308" s="11" t="inlineStr">
        <is>
          <t>Mr. Md. Mijanur Rahman</t>
        </is>
      </c>
      <c r="J1308" s="10">
        <f>IF(K1308&gt;0, "Completed", "Pending")</f>
        <v/>
      </c>
      <c r="K1308" s="10">
        <f>COUNTIF('Survey Responses'!F:F, F1308)</f>
        <v/>
      </c>
    </row>
    <row r="1309">
      <c r="A1309" s="10" t="n">
        <v>1308</v>
      </c>
      <c r="B1309" s="11" t="inlineStr">
        <is>
          <t>Tangail (GEN-A)</t>
        </is>
      </c>
      <c r="C1309" s="11" t="inlineStr">
        <is>
          <t>Mr. Md. Enamul Haque</t>
        </is>
      </c>
      <c r="D1309" s="11" t="inlineStr">
        <is>
          <t>Sherpur GEN-A-1</t>
        </is>
      </c>
      <c r="E1309" s="11" t="inlineStr">
        <is>
          <t>Mr. Md. Taizul Islam</t>
        </is>
      </c>
      <c r="F1309" s="10" t="n">
        <v>10125</v>
      </c>
      <c r="G1309" s="11" t="inlineStr">
        <is>
          <t>Sherpur-1</t>
        </is>
      </c>
      <c r="H1309" s="10" t="n">
        <v>1964</v>
      </c>
      <c r="I1309" s="11" t="inlineStr">
        <is>
          <t>Ashequr Rahman</t>
        </is>
      </c>
      <c r="J1309" s="10">
        <f>IF(K1309&gt;0, "Completed", "Pending")</f>
        <v/>
      </c>
      <c r="K1309" s="10">
        <f>COUNTIF('Survey Responses'!F:F, F1309)</f>
        <v/>
      </c>
    </row>
    <row r="1310">
      <c r="A1310" s="10" t="n">
        <v>1309</v>
      </c>
      <c r="B1310" s="11" t="inlineStr">
        <is>
          <t>Tangail (GEN-A)</t>
        </is>
      </c>
      <c r="C1310" s="11" t="inlineStr">
        <is>
          <t>Mr. Md. Enamul Haque</t>
        </is>
      </c>
      <c r="D1310" s="11" t="inlineStr">
        <is>
          <t>Sherpur GEN-A-1</t>
        </is>
      </c>
      <c r="E1310" s="11" t="inlineStr">
        <is>
          <t>Mr. Md. Taizul Islam</t>
        </is>
      </c>
      <c r="F1310" s="10" t="n">
        <v>10127</v>
      </c>
      <c r="G1310" s="11" t="inlineStr">
        <is>
          <t>Sherpur-3</t>
        </is>
      </c>
      <c r="H1310" s="10" t="n">
        <v>5508</v>
      </c>
      <c r="I1310" s="11" t="inlineStr">
        <is>
          <t>Mr. Md. Shariful Islam</t>
        </is>
      </c>
      <c r="J1310" s="10">
        <f>IF(K1310&gt;0, "Completed", "Pending")</f>
        <v/>
      </c>
      <c r="K1310" s="10">
        <f>COUNTIF('Survey Responses'!F:F, F1310)</f>
        <v/>
      </c>
    </row>
    <row r="1311">
      <c r="A1311" s="10" t="n">
        <v>1310</v>
      </c>
      <c r="B1311" s="11" t="inlineStr">
        <is>
          <t>Tangail (GEN-A)</t>
        </is>
      </c>
      <c r="C1311" s="11" t="inlineStr">
        <is>
          <t>Mr. Md. Enamul Haque</t>
        </is>
      </c>
      <c r="D1311" s="11" t="inlineStr">
        <is>
          <t>Sherpur GEN-A-1</t>
        </is>
      </c>
      <c r="E1311" s="11" t="inlineStr">
        <is>
          <t>Mr. Md. Taizul Islam</t>
        </is>
      </c>
      <c r="F1311" s="10" t="n">
        <v>12915</v>
      </c>
      <c r="G1311" s="11" t="inlineStr">
        <is>
          <t>Sreebordhi-1</t>
        </is>
      </c>
      <c r="H1311" s="10" t="n">
        <v>7149</v>
      </c>
      <c r="I1311" s="11" t="inlineStr">
        <is>
          <t>Mr. Md. Biplob Akanda</t>
        </is>
      </c>
      <c r="J1311" s="10">
        <f>IF(K1311&gt;0, "Completed", "Pending")</f>
        <v/>
      </c>
      <c r="K1311" s="10">
        <f>COUNTIF('Survey Responses'!F:F, F1311)</f>
        <v/>
      </c>
    </row>
    <row r="1312">
      <c r="A1312" s="10" t="n">
        <v>1311</v>
      </c>
      <c r="B1312" s="11" t="inlineStr">
        <is>
          <t>Tangail (GEN-A)</t>
        </is>
      </c>
      <c r="C1312" s="11" t="inlineStr">
        <is>
          <t>Mr. Md. Enamul Haque</t>
        </is>
      </c>
      <c r="D1312" s="11" t="inlineStr">
        <is>
          <t>Sherpur GEN-A-2</t>
        </is>
      </c>
      <c r="E1312" s="11" t="inlineStr">
        <is>
          <t>Mr. Md. Sohel Rana</t>
        </is>
      </c>
      <c r="F1312" s="10" t="n">
        <v>10122</v>
      </c>
      <c r="G1312" s="11" t="inlineStr">
        <is>
          <t>Boxigonj</t>
        </is>
      </c>
      <c r="H1312" s="10" t="n">
        <v>922</v>
      </c>
      <c r="I1312" s="11" t="inlineStr">
        <is>
          <t>Md. Ishaq Ali</t>
        </is>
      </c>
      <c r="J1312" s="10">
        <f>IF(K1312&gt;0, "Completed", "Pending")</f>
        <v/>
      </c>
      <c r="K1312" s="10">
        <f>COUNTIF('Survey Responses'!F:F, F1312)</f>
        <v/>
      </c>
    </row>
    <row r="1313">
      <c r="A1313" s="10" t="n">
        <v>1312</v>
      </c>
      <c r="B1313" s="11" t="inlineStr">
        <is>
          <t>Tangail (GEN-A)</t>
        </is>
      </c>
      <c r="C1313" s="11" t="inlineStr">
        <is>
          <t>Mr. Md. Enamul Haque</t>
        </is>
      </c>
      <c r="D1313" s="11" t="inlineStr">
        <is>
          <t>Sherpur GEN-A-2</t>
        </is>
      </c>
      <c r="E1313" s="11" t="inlineStr">
        <is>
          <t>Mr. Md. Sohel Rana</t>
        </is>
      </c>
      <c r="F1313" s="10" t="n">
        <v>10124</v>
      </c>
      <c r="G1313" s="11" t="inlineStr">
        <is>
          <t>Dewangonj</t>
        </is>
      </c>
      <c r="H1313" s="10" t="n">
        <v>5150</v>
      </c>
      <c r="I1313" s="11" t="inlineStr">
        <is>
          <t>Mr. Mohammad Ali</t>
        </is>
      </c>
      <c r="J1313" s="10">
        <f>IF(K1313&gt;0, "Completed", "Pending")</f>
        <v/>
      </c>
      <c r="K1313" s="10">
        <f>COUNTIF('Survey Responses'!F:F, F1313)</f>
        <v/>
      </c>
    </row>
    <row r="1314">
      <c r="A1314" s="10" t="n">
        <v>1313</v>
      </c>
      <c r="B1314" s="11" t="inlineStr">
        <is>
          <t>Tangail (GEN-A)</t>
        </is>
      </c>
      <c r="C1314" s="11" t="inlineStr">
        <is>
          <t>Mr. Md. Enamul Haque</t>
        </is>
      </c>
      <c r="D1314" s="11" t="inlineStr">
        <is>
          <t>Sherpur GEN-A-2</t>
        </is>
      </c>
      <c r="E1314" s="11" t="inlineStr">
        <is>
          <t>Mr. Md. Sohel Rana</t>
        </is>
      </c>
      <c r="F1314" s="10" t="n">
        <v>10123</v>
      </c>
      <c r="G1314" s="11" t="inlineStr">
        <is>
          <t>Islampur</t>
        </is>
      </c>
      <c r="H1314" s="10" t="n">
        <v>6188</v>
      </c>
      <c r="I1314" s="11" t="inlineStr">
        <is>
          <t>Mr. Md. Sohanur Rahman Sohan</t>
        </is>
      </c>
      <c r="J1314" s="10">
        <f>IF(K1314&gt;0, "Completed", "Pending")</f>
        <v/>
      </c>
      <c r="K1314" s="10">
        <f>COUNTIF('Survey Responses'!F:F, F1314)</f>
        <v/>
      </c>
    </row>
    <row r="1315">
      <c r="A1315" s="10" t="n">
        <v>1314</v>
      </c>
      <c r="B1315" s="11" t="inlineStr">
        <is>
          <t>Tangail (GEN-A)</t>
        </is>
      </c>
      <c r="C1315" s="11" t="inlineStr">
        <is>
          <t>Mr. Md. Enamul Haque</t>
        </is>
      </c>
      <c r="D1315" s="11" t="inlineStr">
        <is>
          <t>Sherpur GEN-A-2</t>
        </is>
      </c>
      <c r="E1315" s="11" t="inlineStr">
        <is>
          <t>Mr. Md. Sohel Rana</t>
        </is>
      </c>
      <c r="F1315" s="10" t="n">
        <v>12686</v>
      </c>
      <c r="G1315" s="11" t="inlineStr">
        <is>
          <t>Islampur-2</t>
        </is>
      </c>
      <c r="H1315" s="10" t="n">
        <v>4197</v>
      </c>
      <c r="I1315" s="11" t="inlineStr">
        <is>
          <t>Mr. Md. Elius Mondol</t>
        </is>
      </c>
      <c r="J1315" s="10">
        <f>IF(K1315&gt;0, "Completed", "Pending")</f>
        <v/>
      </c>
      <c r="K1315" s="10">
        <f>COUNTIF('Survey Responses'!F:F, F1315)</f>
        <v/>
      </c>
    </row>
    <row r="1316">
      <c r="A1316" s="10" t="n">
        <v>1315</v>
      </c>
      <c r="B1316" s="11" t="inlineStr">
        <is>
          <t>Tangail (GEN-A)</t>
        </is>
      </c>
      <c r="C1316" s="11" t="inlineStr">
        <is>
          <t>Mr. Md. Enamul Haque</t>
        </is>
      </c>
      <c r="D1316" s="11" t="inlineStr">
        <is>
          <t>Sherpur GEN-A-2</t>
        </is>
      </c>
      <c r="E1316" s="11" t="inlineStr">
        <is>
          <t>Mr. Md. Sohel Rana</t>
        </is>
      </c>
      <c r="F1316" s="10" t="n">
        <v>10126</v>
      </c>
      <c r="G1316" s="11" t="inlineStr">
        <is>
          <t>Sherpur-2</t>
        </is>
      </c>
      <c r="H1316" s="10" t="n">
        <v>6329</v>
      </c>
      <c r="I1316" s="11" t="inlineStr">
        <is>
          <t>Mr. Liton Chandra Roy</t>
        </is>
      </c>
      <c r="J1316" s="10">
        <f>IF(K1316&gt;0, "Completed", "Pending")</f>
        <v/>
      </c>
      <c r="K1316" s="10">
        <f>COUNTIF('Survey Responses'!F:F, F1316)</f>
        <v/>
      </c>
    </row>
    <row r="1317">
      <c r="A1317" s="10" t="n">
        <v>1316</v>
      </c>
      <c r="B1317" s="11" t="inlineStr">
        <is>
          <t>Tangail (GEN-A)</t>
        </is>
      </c>
      <c r="C1317" s="11" t="inlineStr">
        <is>
          <t>Mr. Md. Enamul Haque</t>
        </is>
      </c>
      <c r="D1317" s="11" t="inlineStr">
        <is>
          <t>Sherpur GEN-A-2</t>
        </is>
      </c>
      <c r="E1317" s="11" t="inlineStr">
        <is>
          <t>Mr. Md. Sohel Rana</t>
        </is>
      </c>
      <c r="F1317" s="10" t="n">
        <v>12289</v>
      </c>
      <c r="G1317" s="11" t="inlineStr">
        <is>
          <t>Sherpur-4</t>
        </is>
      </c>
      <c r="H1317" s="10" t="n">
        <v>2917</v>
      </c>
      <c r="I1317" s="11" t="inlineStr">
        <is>
          <t>Md. Osman Harun</t>
        </is>
      </c>
      <c r="J1317" s="10">
        <f>IF(K1317&gt;0, "Completed", "Pending")</f>
        <v/>
      </c>
      <c r="K1317" s="10">
        <f>COUNTIF('Survey Responses'!F:F, F1317)</f>
        <v/>
      </c>
    </row>
    <row r="1318">
      <c r="A1318" s="10" t="n">
        <v>1317</v>
      </c>
      <c r="B1318" s="11" t="inlineStr">
        <is>
          <t>Tangail (GEN-A)</t>
        </is>
      </c>
      <c r="C1318" s="11" t="inlineStr">
        <is>
          <t>Mr. Md. Enamul Haque</t>
        </is>
      </c>
      <c r="D1318" s="11" t="inlineStr">
        <is>
          <t>Sherpur GEN-A-2</t>
        </is>
      </c>
      <c r="E1318" s="11" t="inlineStr">
        <is>
          <t>Mr. Md. Sohel Rana</t>
        </is>
      </c>
      <c r="F1318" s="10" t="n">
        <v>14508</v>
      </c>
      <c r="G1318" s="11" t="inlineStr">
        <is>
          <t>Sherpur-5</t>
        </is>
      </c>
      <c r="H1318" s="10" t="n">
        <v>3648</v>
      </c>
      <c r="I1318" s="11" t="inlineStr">
        <is>
          <t>Mr. Mamun Haq</t>
        </is>
      </c>
      <c r="J1318" s="10">
        <f>IF(K1318&gt;0, "Completed", "Pending")</f>
        <v/>
      </c>
      <c r="K1318" s="10">
        <f>COUNTIF('Survey Responses'!F:F, F1318)</f>
        <v/>
      </c>
    </row>
    <row r="1319">
      <c r="A1319" s="10" t="n">
        <v>1318</v>
      </c>
      <c r="B1319" s="11" t="inlineStr">
        <is>
          <t>Tangail (GEN-A)</t>
        </is>
      </c>
      <c r="C1319" s="11" t="inlineStr">
        <is>
          <t>Mr. Md. Enamul Haque</t>
        </is>
      </c>
      <c r="D1319" s="11" t="inlineStr">
        <is>
          <t>Tangail GEN-A-1</t>
        </is>
      </c>
      <c r="E1319" s="11" t="inlineStr">
        <is>
          <t>Mr. Md. Abdul Hamid</t>
        </is>
      </c>
      <c r="F1319" s="10" t="n">
        <v>11813</v>
      </c>
      <c r="G1319" s="11" t="inlineStr">
        <is>
          <t>Basail-1</t>
        </is>
      </c>
      <c r="H1319" s="10" t="n">
        <v>876</v>
      </c>
      <c r="I1319" s="11" t="inlineStr">
        <is>
          <t>Md. Abdul Hye</t>
        </is>
      </c>
      <c r="J1319" s="10">
        <f>IF(K1319&gt;0, "Completed", "Pending")</f>
        <v/>
      </c>
      <c r="K1319" s="10">
        <f>COUNTIF('Survey Responses'!F:F, F1319)</f>
        <v/>
      </c>
    </row>
    <row r="1320">
      <c r="A1320" s="10" t="n">
        <v>1319</v>
      </c>
      <c r="B1320" s="11" t="inlineStr">
        <is>
          <t>Tangail (GEN-A)</t>
        </is>
      </c>
      <c r="C1320" s="11" t="inlineStr">
        <is>
          <t>Mr. Md. Enamul Haque</t>
        </is>
      </c>
      <c r="D1320" s="11" t="inlineStr">
        <is>
          <t>Tangail GEN-A-1</t>
        </is>
      </c>
      <c r="E1320" s="11" t="inlineStr">
        <is>
          <t>Mr. Md. Abdul Hamid</t>
        </is>
      </c>
      <c r="F1320" s="10" t="n">
        <v>13244</v>
      </c>
      <c r="G1320" s="11" t="inlineStr">
        <is>
          <t>Delduar-1</t>
        </is>
      </c>
      <c r="H1320" s="10" t="n">
        <v>1506</v>
      </c>
      <c r="I1320" s="11" t="inlineStr">
        <is>
          <t>Mr. Zahid Hasan</t>
        </is>
      </c>
      <c r="J1320" s="10">
        <f>IF(K1320&gt;0, "Completed", "Pending")</f>
        <v/>
      </c>
      <c r="K1320" s="10">
        <f>COUNTIF('Survey Responses'!F:F, F1320)</f>
        <v/>
      </c>
    </row>
    <row r="1321">
      <c r="A1321" s="10" t="n">
        <v>1320</v>
      </c>
      <c r="B1321" s="11" t="inlineStr">
        <is>
          <t>Tangail (GEN-A)</t>
        </is>
      </c>
      <c r="C1321" s="11" t="inlineStr">
        <is>
          <t>Mr. Md. Enamul Haque</t>
        </is>
      </c>
      <c r="D1321" s="11" t="inlineStr">
        <is>
          <t>Tangail GEN-A-1</t>
        </is>
      </c>
      <c r="E1321" s="11" t="inlineStr">
        <is>
          <t>Mr. Md. Abdul Hamid</t>
        </is>
      </c>
      <c r="F1321" s="10" t="n">
        <v>10097</v>
      </c>
      <c r="G1321" s="11" t="inlineStr">
        <is>
          <t>Jamurki</t>
        </is>
      </c>
      <c r="H1321" s="10" t="n">
        <v>1617</v>
      </c>
      <c r="I1321" s="11" t="inlineStr">
        <is>
          <t>Suman Das</t>
        </is>
      </c>
      <c r="J1321" s="10">
        <f>IF(K1321&gt;0, "Completed", "Pending")</f>
        <v/>
      </c>
      <c r="K1321" s="10">
        <f>COUNTIF('Survey Responses'!F:F, F1321)</f>
        <v/>
      </c>
    </row>
    <row r="1322">
      <c r="A1322" s="10" t="n">
        <v>1321</v>
      </c>
      <c r="B1322" s="11" t="inlineStr">
        <is>
          <t>Tangail (GEN-A)</t>
        </is>
      </c>
      <c r="C1322" s="11" t="inlineStr">
        <is>
          <t>Mr. Md. Enamul Haque</t>
        </is>
      </c>
      <c r="D1322" s="11" t="inlineStr">
        <is>
          <t>Tangail GEN-A-1</t>
        </is>
      </c>
      <c r="E1322" s="11" t="inlineStr">
        <is>
          <t>Mr. Md. Abdul Hamid</t>
        </is>
      </c>
      <c r="F1322" s="10" t="n">
        <v>10094</v>
      </c>
      <c r="G1322" s="11" t="inlineStr">
        <is>
          <t>Tangail-1</t>
        </is>
      </c>
      <c r="H1322" s="10" t="n">
        <v>1213</v>
      </c>
      <c r="I1322" s="11" t="inlineStr">
        <is>
          <t>Md. Mohon Ali</t>
        </is>
      </c>
      <c r="J1322" s="10">
        <f>IF(K1322&gt;0, "Completed", "Pending")</f>
        <v/>
      </c>
      <c r="K1322" s="10">
        <f>COUNTIF('Survey Responses'!F:F, F1322)</f>
        <v/>
      </c>
    </row>
    <row r="1323">
      <c r="A1323" s="10" t="n">
        <v>1322</v>
      </c>
      <c r="B1323" s="11" t="inlineStr">
        <is>
          <t>Tangail (GEN-A)</t>
        </is>
      </c>
      <c r="C1323" s="11" t="inlineStr">
        <is>
          <t>Mr. Md. Enamul Haque</t>
        </is>
      </c>
      <c r="D1323" s="11" t="inlineStr">
        <is>
          <t>Tangail GEN-A-1</t>
        </is>
      </c>
      <c r="E1323" s="11" t="inlineStr">
        <is>
          <t>Mr. Md. Abdul Hamid</t>
        </is>
      </c>
      <c r="F1323" s="10" t="n">
        <v>10098</v>
      </c>
      <c r="G1323" s="11" t="inlineStr">
        <is>
          <t>Tangail-2</t>
        </is>
      </c>
      <c r="H1323" s="10" t="n">
        <v>709</v>
      </c>
      <c r="I1323" s="11" t="inlineStr">
        <is>
          <t>Shoeb Muhammad Karim</t>
        </is>
      </c>
      <c r="J1323" s="10">
        <f>IF(K1323&gt;0, "Completed", "Pending")</f>
        <v/>
      </c>
      <c r="K1323" s="10">
        <f>COUNTIF('Survey Responses'!F:F, F1323)</f>
        <v/>
      </c>
    </row>
    <row r="1324">
      <c r="A1324" s="10" t="n">
        <v>1323</v>
      </c>
      <c r="B1324" s="11" t="inlineStr">
        <is>
          <t>Tangail (GEN-A)</t>
        </is>
      </c>
      <c r="C1324" s="11" t="inlineStr">
        <is>
          <t>Mr. Md. Enamul Haque</t>
        </is>
      </c>
      <c r="D1324" s="11" t="inlineStr">
        <is>
          <t>Tangail GEN-A-1</t>
        </is>
      </c>
      <c r="E1324" s="11" t="inlineStr">
        <is>
          <t>Mr. Md. Abdul Hamid</t>
        </is>
      </c>
      <c r="F1324" s="10" t="n">
        <v>10095</v>
      </c>
      <c r="G1324" s="11" t="inlineStr">
        <is>
          <t>Tangail-4</t>
        </is>
      </c>
      <c r="H1324" s="10" t="n">
        <v>7420</v>
      </c>
      <c r="I1324" s="11" t="inlineStr">
        <is>
          <t>Mr. Md. Mainuddin</t>
        </is>
      </c>
      <c r="J1324" s="10">
        <f>IF(K1324&gt;0, "Completed", "Pending")</f>
        <v/>
      </c>
      <c r="K1324" s="10">
        <f>COUNTIF('Survey Responses'!F:F, F1324)</f>
        <v/>
      </c>
    </row>
    <row r="1325">
      <c r="A1325" s="10" t="n">
        <v>1324</v>
      </c>
      <c r="B1325" s="11" t="inlineStr">
        <is>
          <t>Tangail (GEN-A)</t>
        </is>
      </c>
      <c r="C1325" s="11" t="inlineStr">
        <is>
          <t>Mr. Md. Enamul Haque</t>
        </is>
      </c>
      <c r="D1325" s="11" t="inlineStr">
        <is>
          <t>Tangail GEN-A-1</t>
        </is>
      </c>
      <c r="E1325" s="11" t="inlineStr">
        <is>
          <t>Mr. Md. Abdul Hamid</t>
        </is>
      </c>
      <c r="F1325" s="10" t="n">
        <v>10099</v>
      </c>
      <c r="G1325" s="11" t="inlineStr">
        <is>
          <t>Tangail-6</t>
        </is>
      </c>
      <c r="H1325" s="10" t="n">
        <v>6717</v>
      </c>
      <c r="I1325" s="11" t="inlineStr">
        <is>
          <t>Mr. Pronob Podder</t>
        </is>
      </c>
      <c r="J1325" s="10">
        <f>IF(K1325&gt;0, "Completed", "Pending")</f>
        <v/>
      </c>
      <c r="K1325" s="10">
        <f>COUNTIF('Survey Responses'!F:F, F1325)</f>
        <v/>
      </c>
    </row>
    <row r="1326">
      <c r="A1326" s="10" t="n">
        <v>1325</v>
      </c>
      <c r="B1326" s="11" t="inlineStr">
        <is>
          <t>Tangail (GEN-A)</t>
        </is>
      </c>
      <c r="C1326" s="11" t="inlineStr">
        <is>
          <t>Mr. Md. Enamul Haque</t>
        </is>
      </c>
      <c r="D1326" s="11" t="inlineStr">
        <is>
          <t>Tangail GEN-A-2</t>
        </is>
      </c>
      <c r="E1326" s="11" t="inlineStr">
        <is>
          <t>Mr. Md. Shafiqul Islam</t>
        </is>
      </c>
      <c r="F1326" s="10" t="n">
        <v>10105</v>
      </c>
      <c r="G1326" s="11" t="inlineStr">
        <is>
          <t xml:space="preserve">Alenga </t>
        </is>
      </c>
      <c r="H1326" s="10" t="n">
        <v>1574</v>
      </c>
      <c r="I1326" s="11" t="inlineStr">
        <is>
          <t>Khairul Bashar</t>
        </is>
      </c>
      <c r="J1326" s="10">
        <f>IF(K1326&gt;0, "Completed", "Pending")</f>
        <v/>
      </c>
      <c r="K1326" s="10">
        <f>COUNTIF('Survey Responses'!F:F, F1326)</f>
        <v/>
      </c>
    </row>
    <row r="1327">
      <c r="A1327" s="10" t="n">
        <v>1326</v>
      </c>
      <c r="B1327" s="11" t="inlineStr">
        <is>
          <t>Tangail (GEN-A)</t>
        </is>
      </c>
      <c r="C1327" s="11" t="inlineStr">
        <is>
          <t>Mr. Md. Enamul Haque</t>
        </is>
      </c>
      <c r="D1327" s="11" t="inlineStr">
        <is>
          <t>Tangail GEN-A-2</t>
        </is>
      </c>
      <c r="E1327" s="11" t="inlineStr">
        <is>
          <t>Mr. Md. Shafiqul Islam</t>
        </is>
      </c>
      <c r="F1327" s="10" t="n">
        <v>10104</v>
      </c>
      <c r="G1327" s="11" t="inlineStr">
        <is>
          <t>Bhuapur</t>
        </is>
      </c>
      <c r="H1327" s="10" t="n">
        <v>1922</v>
      </c>
      <c r="I1327" s="11" t="inlineStr">
        <is>
          <t>Md. Harun-Or-Rashid</t>
        </is>
      </c>
      <c r="J1327" s="10">
        <f>IF(K1327&gt;0, "Completed", "Pending")</f>
        <v/>
      </c>
      <c r="K1327" s="10">
        <f>COUNTIF('Survey Responses'!F:F, F1327)</f>
        <v/>
      </c>
    </row>
    <row r="1328">
      <c r="A1328" s="10" t="n">
        <v>1327</v>
      </c>
      <c r="B1328" s="11" t="inlineStr">
        <is>
          <t>Tangail (GEN-A)</t>
        </is>
      </c>
      <c r="C1328" s="11" t="inlineStr">
        <is>
          <t>Mr. Md. Enamul Haque</t>
        </is>
      </c>
      <c r="D1328" s="11" t="inlineStr">
        <is>
          <t>Tangail GEN-A-2</t>
        </is>
      </c>
      <c r="E1328" s="11" t="inlineStr">
        <is>
          <t>Mr. Md. Shafiqul Islam</t>
        </is>
      </c>
      <c r="F1328" s="10" t="n">
        <v>13135</v>
      </c>
      <c r="G1328" s="11" t="inlineStr">
        <is>
          <t>Bhuapur-2</t>
        </is>
      </c>
      <c r="H1328" s="10" t="n">
        <v>5743</v>
      </c>
      <c r="I1328" s="11" t="inlineStr">
        <is>
          <t>Mr. Dipongkor Roy</t>
        </is>
      </c>
      <c r="J1328" s="10">
        <f>IF(K1328&gt;0, "Completed", "Pending")</f>
        <v/>
      </c>
      <c r="K1328" s="10">
        <f>COUNTIF('Survey Responses'!F:F, F1328)</f>
        <v/>
      </c>
    </row>
    <row r="1329">
      <c r="A1329" s="10" t="n">
        <v>1328</v>
      </c>
      <c r="B1329" s="11" t="inlineStr">
        <is>
          <t>Tangail (GEN-A)</t>
        </is>
      </c>
      <c r="C1329" s="11" t="inlineStr">
        <is>
          <t>Mr. Md. Enamul Haque</t>
        </is>
      </c>
      <c r="D1329" s="11" t="inlineStr">
        <is>
          <t>Tangail GEN-A-2</t>
        </is>
      </c>
      <c r="E1329" s="11" t="inlineStr">
        <is>
          <t>Mr. Md. Shafiqul Islam</t>
        </is>
      </c>
      <c r="F1329" s="10" t="n">
        <v>10100</v>
      </c>
      <c r="G1329" s="11" t="inlineStr">
        <is>
          <t>Tangail-3</t>
        </is>
      </c>
      <c r="H1329" s="10" t="n">
        <v>5865</v>
      </c>
      <c r="I1329" s="11" t="inlineStr">
        <is>
          <t>Mr. Mohammad Motaleb Hossain</t>
        </is>
      </c>
      <c r="J1329" s="10">
        <f>IF(K1329&gt;0, "Completed", "Pending")</f>
        <v/>
      </c>
      <c r="K1329" s="10">
        <f>COUNTIF('Survey Responses'!F:F, F1329)</f>
        <v/>
      </c>
    </row>
    <row r="1330">
      <c r="A1330" s="10" t="n">
        <v>1329</v>
      </c>
      <c r="B1330" s="11" t="inlineStr">
        <is>
          <t>Tangail (GEN-A)</t>
        </is>
      </c>
      <c r="C1330" s="11" t="inlineStr">
        <is>
          <t>Mr. Md. Enamul Haque</t>
        </is>
      </c>
      <c r="D1330" s="11" t="inlineStr">
        <is>
          <t>Tangail GEN-A-2</t>
        </is>
      </c>
      <c r="E1330" s="11" t="inlineStr">
        <is>
          <t>Mr. Md. Shafiqul Islam</t>
        </is>
      </c>
      <c r="F1330" s="10" t="n">
        <v>10101</v>
      </c>
      <c r="G1330" s="11" t="inlineStr">
        <is>
          <t>Tangail-5</t>
        </is>
      </c>
      <c r="H1330" s="10" t="n">
        <v>1551</v>
      </c>
      <c r="I1330" s="11" t="inlineStr">
        <is>
          <t>Md. Shohel Rana</t>
        </is>
      </c>
      <c r="J1330" s="10">
        <f>IF(K1330&gt;0, "Completed", "Pending")</f>
        <v/>
      </c>
      <c r="K1330" s="10">
        <f>COUNTIF('Survey Responses'!F:F, F1330)</f>
        <v/>
      </c>
    </row>
    <row r="1331">
      <c r="A1331" s="10" t="n">
        <v>1330</v>
      </c>
      <c r="B1331" s="11" t="inlineStr">
        <is>
          <t>Tangail (GEN-A)</t>
        </is>
      </c>
      <c r="C1331" s="11" t="inlineStr">
        <is>
          <t>Mr. Md. Enamul Haque</t>
        </is>
      </c>
      <c r="D1331" s="11" t="inlineStr">
        <is>
          <t>Tangail GEN-A-2</t>
        </is>
      </c>
      <c r="E1331" s="11" t="inlineStr">
        <is>
          <t>Mr. Md. Shafiqul Islam</t>
        </is>
      </c>
      <c r="F1331" s="10" t="n">
        <v>10102</v>
      </c>
      <c r="G1331" s="11" t="inlineStr">
        <is>
          <t>Tangail-7</t>
        </is>
      </c>
      <c r="H1331" s="10" t="n">
        <v>5021</v>
      </c>
      <c r="I1331" s="11" t="inlineStr">
        <is>
          <t>Mr. Chandan Karmoker</t>
        </is>
      </c>
      <c r="J1331" s="10">
        <f>IF(K1331&gt;0, "Completed", "Pending")</f>
        <v/>
      </c>
      <c r="K1331" s="10">
        <f>COUNTIF('Survey Responses'!F:F, F1331)</f>
        <v/>
      </c>
    </row>
    <row r="1332">
      <c r="A1332" s="10" t="n">
        <v>1331</v>
      </c>
      <c r="B1332" s="11" t="inlineStr">
        <is>
          <t>Tangail (GEN-A)</t>
        </is>
      </c>
      <c r="C1332" s="11" t="inlineStr">
        <is>
          <t>Mr. Md. Enamul Haque</t>
        </is>
      </c>
      <c r="D1332" s="11" t="inlineStr">
        <is>
          <t>Tangail GEN-A-2</t>
        </is>
      </c>
      <c r="E1332" s="11" t="inlineStr">
        <is>
          <t>Mr. Md. Shafiqul Islam</t>
        </is>
      </c>
      <c r="F1332" s="10" t="n">
        <v>14574</v>
      </c>
      <c r="G1332" s="11" t="inlineStr">
        <is>
          <t>Tangail-8</t>
        </is>
      </c>
      <c r="H1332" s="10" t="n">
        <v>7666</v>
      </c>
      <c r="I1332" s="11" t="inlineStr">
        <is>
          <t>Mr. Md. Belal Hossain</t>
        </is>
      </c>
      <c r="J1332" s="10">
        <f>IF(K1332&gt;0, "Completed", "Pending")</f>
        <v/>
      </c>
      <c r="K1332" s="10">
        <f>COUNTIF('Survey Responses'!F:F, F1332)</f>
        <v/>
      </c>
    </row>
    <row r="1333">
      <c r="A1333" s="10" t="n">
        <v>1332</v>
      </c>
      <c r="B1333" s="11" t="inlineStr">
        <is>
          <t>Barishal-A (GEN-A)</t>
        </is>
      </c>
      <c r="C1333" s="11" t="inlineStr">
        <is>
          <t>Mr. Khairul Alam</t>
        </is>
      </c>
      <c r="D1333" s="11" t="inlineStr">
        <is>
          <t>Barguna GEN-A-1</t>
        </is>
      </c>
      <c r="E1333" s="11" t="inlineStr">
        <is>
          <t>Md. Abdur Rashid</t>
        </is>
      </c>
      <c r="F1333" s="10" t="n">
        <v>10386</v>
      </c>
      <c r="G1333" s="11" t="inlineStr">
        <is>
          <t>Amtali-1</t>
        </is>
      </c>
      <c r="H1333" s="10" t="n">
        <v>1955</v>
      </c>
      <c r="I1333" s="11" t="inlineStr">
        <is>
          <t>Md. Omar Faruk</t>
        </is>
      </c>
      <c r="J1333" s="10">
        <f>IF(K1333&gt;0, "Completed", "Pending")</f>
        <v/>
      </c>
      <c r="K1333" s="10">
        <f>COUNTIF('Survey Responses'!F:F, F1333)</f>
        <v/>
      </c>
    </row>
    <row r="1334">
      <c r="A1334" s="10" t="n">
        <v>1333</v>
      </c>
      <c r="B1334" s="11" t="inlineStr">
        <is>
          <t>Barishal-A (GEN-A)</t>
        </is>
      </c>
      <c r="C1334" s="11" t="inlineStr">
        <is>
          <t>Mr. Khairul Alam</t>
        </is>
      </c>
      <c r="D1334" s="11" t="inlineStr">
        <is>
          <t>Barguna GEN-A-1</t>
        </is>
      </c>
      <c r="E1334" s="11" t="inlineStr">
        <is>
          <t>Md. Abdur Rashid</t>
        </is>
      </c>
      <c r="F1334" s="10" t="n">
        <v>10391</v>
      </c>
      <c r="G1334" s="11" t="inlineStr">
        <is>
          <t>Amtali-2</t>
        </is>
      </c>
      <c r="H1334" s="10" t="n">
        <v>1891</v>
      </c>
      <c r="I1334" s="11" t="inlineStr">
        <is>
          <t>Md. Selim Hossain</t>
        </is>
      </c>
      <c r="J1334" s="10">
        <f>IF(K1334&gt;0, "Completed", "Pending")</f>
        <v/>
      </c>
      <c r="K1334" s="10">
        <f>COUNTIF('Survey Responses'!F:F, F1334)</f>
        <v/>
      </c>
    </row>
    <row r="1335">
      <c r="A1335" s="10" t="n">
        <v>1334</v>
      </c>
      <c r="B1335" s="11" t="inlineStr">
        <is>
          <t>Barishal-A (GEN-A)</t>
        </is>
      </c>
      <c r="C1335" s="11" t="inlineStr">
        <is>
          <t>Mr. Khairul Alam</t>
        </is>
      </c>
      <c r="D1335" s="11" t="inlineStr">
        <is>
          <t>Barguna GEN-A-1</t>
        </is>
      </c>
      <c r="E1335" s="11" t="inlineStr">
        <is>
          <t>Md. Abdur Rashid</t>
        </is>
      </c>
      <c r="F1335" s="10" t="n">
        <v>10392</v>
      </c>
      <c r="G1335" s="11" t="inlineStr">
        <is>
          <t>Borguna-1</t>
        </is>
      </c>
      <c r="H1335" s="10" t="n">
        <v>1378</v>
      </c>
      <c r="I1335" s="11" t="inlineStr">
        <is>
          <t>Mr. Mahfuzul Bari</t>
        </is>
      </c>
      <c r="J1335" s="10">
        <f>IF(K1335&gt;0, "Completed", "Pending")</f>
        <v/>
      </c>
      <c r="K1335" s="10">
        <f>COUNTIF('Survey Responses'!F:F, F1335)</f>
        <v/>
      </c>
    </row>
    <row r="1336">
      <c r="A1336" s="10" t="n">
        <v>1335</v>
      </c>
      <c r="B1336" s="11" t="inlineStr">
        <is>
          <t>Barishal-A (GEN-A)</t>
        </is>
      </c>
      <c r="C1336" s="11" t="inlineStr">
        <is>
          <t>Mr. Khairul Alam</t>
        </is>
      </c>
      <c r="D1336" s="11" t="inlineStr">
        <is>
          <t>Barguna GEN-A-1</t>
        </is>
      </c>
      <c r="E1336" s="11" t="inlineStr">
        <is>
          <t>Md. Abdur Rashid</t>
        </is>
      </c>
      <c r="F1336" s="10" t="n">
        <v>10390</v>
      </c>
      <c r="G1336" s="11" t="inlineStr">
        <is>
          <t>Borguna-2</t>
        </is>
      </c>
      <c r="H1336" s="10" t="n">
        <v>5018</v>
      </c>
      <c r="I1336" s="11" t="inlineStr">
        <is>
          <t>Mr. Abdur Rahman</t>
        </is>
      </c>
      <c r="J1336" s="10">
        <f>IF(K1336&gt;0, "Completed", "Pending")</f>
        <v/>
      </c>
      <c r="K1336" s="10">
        <f>COUNTIF('Survey Responses'!F:F, F1336)</f>
        <v/>
      </c>
    </row>
    <row r="1337">
      <c r="A1337" s="10" t="n">
        <v>1336</v>
      </c>
      <c r="B1337" s="11" t="inlineStr">
        <is>
          <t>Barishal-A (GEN-A)</t>
        </is>
      </c>
      <c r="C1337" s="11" t="inlineStr">
        <is>
          <t>Mr. Khairul Alam</t>
        </is>
      </c>
      <c r="D1337" s="11" t="inlineStr">
        <is>
          <t>Barguna GEN-A-1</t>
        </is>
      </c>
      <c r="E1337" s="11" t="inlineStr">
        <is>
          <t>Md. Abdur Rashid</t>
        </is>
      </c>
      <c r="F1337" s="10" t="n">
        <v>10384</v>
      </c>
      <c r="G1337" s="11" t="inlineStr">
        <is>
          <t>Mirzaganj</t>
        </is>
      </c>
      <c r="H1337" s="10" t="n">
        <v>7416</v>
      </c>
      <c r="I1337" s="11" t="inlineStr">
        <is>
          <t>Mr. Abu Raihan</t>
        </is>
      </c>
      <c r="J1337" s="10">
        <f>IF(K1337&gt;0, "Completed", "Pending")</f>
        <v/>
      </c>
      <c r="K1337" s="10">
        <f>COUNTIF('Survey Responses'!F:F, F1337)</f>
        <v/>
      </c>
    </row>
    <row r="1338">
      <c r="A1338" s="10" t="n">
        <v>1337</v>
      </c>
      <c r="B1338" s="11" t="inlineStr">
        <is>
          <t>Barishal-A (GEN-A)</t>
        </is>
      </c>
      <c r="C1338" s="11" t="inlineStr">
        <is>
          <t>Mr. Khairul Alam</t>
        </is>
      </c>
      <c r="D1338" s="11" t="inlineStr">
        <is>
          <t>Barguna GEN-A-1</t>
        </is>
      </c>
      <c r="E1338" s="11" t="inlineStr">
        <is>
          <t>Md. Abdur Rashid</t>
        </is>
      </c>
      <c r="F1338" s="10" t="n">
        <v>10387</v>
      </c>
      <c r="G1338" s="11" t="inlineStr">
        <is>
          <t>Patharghata-1</t>
        </is>
      </c>
      <c r="H1338" s="10" t="n">
        <v>921</v>
      </c>
      <c r="I1338" s="11" t="inlineStr">
        <is>
          <t>Md. Abdus Sabur Biswas</t>
        </is>
      </c>
      <c r="J1338" s="10">
        <f>IF(K1338&gt;0, "Completed", "Pending")</f>
        <v/>
      </c>
      <c r="K1338" s="10">
        <f>COUNTIF('Survey Responses'!F:F, F1338)</f>
        <v/>
      </c>
    </row>
    <row r="1339">
      <c r="A1339" s="10" t="n">
        <v>1338</v>
      </c>
      <c r="B1339" s="11" t="inlineStr">
        <is>
          <t>Barishal-A (GEN-A)</t>
        </is>
      </c>
      <c r="C1339" s="11" t="inlineStr">
        <is>
          <t>Mr. Khairul Alam</t>
        </is>
      </c>
      <c r="D1339" s="11" t="inlineStr">
        <is>
          <t>Barguna GEN-A-1</t>
        </is>
      </c>
      <c r="E1339" s="11" t="inlineStr">
        <is>
          <t>Md. Abdur Rashid</t>
        </is>
      </c>
      <c r="F1339" s="10" t="n">
        <v>12358</v>
      </c>
      <c r="G1339" s="11" t="inlineStr">
        <is>
          <t>Patharghata-2</t>
        </is>
      </c>
      <c r="H1339" s="10" t="n">
        <v>7057</v>
      </c>
      <c r="I1339" s="11" t="inlineStr">
        <is>
          <t>Mr. Raihan Hossain Rhidoy</t>
        </is>
      </c>
      <c r="J1339" s="10">
        <f>IF(K1339&gt;0, "Completed", "Pending")</f>
        <v/>
      </c>
      <c r="K1339" s="10">
        <f>COUNTIF('Survey Responses'!F:F, F1339)</f>
        <v/>
      </c>
    </row>
    <row r="1340">
      <c r="A1340" s="10" t="n">
        <v>1339</v>
      </c>
      <c r="B1340" s="11" t="inlineStr">
        <is>
          <t>Barishal-A (GEN-A)</t>
        </is>
      </c>
      <c r="C1340" s="11" t="inlineStr">
        <is>
          <t>Mr. Khairul Alam</t>
        </is>
      </c>
      <c r="D1340" s="11" t="inlineStr">
        <is>
          <t>Barguna GEN-A-1</t>
        </is>
      </c>
      <c r="E1340" s="11" t="inlineStr">
        <is>
          <t>Md. Abdur Rashid</t>
        </is>
      </c>
      <c r="F1340" s="10" t="n">
        <v>12553</v>
      </c>
      <c r="G1340" s="11" t="inlineStr">
        <is>
          <t>Taltoli-1</t>
        </is>
      </c>
      <c r="H1340" s="10" t="n">
        <v>1588</v>
      </c>
      <c r="I1340" s="11" t="inlineStr">
        <is>
          <t>Md. Mizanur Rahmam</t>
        </is>
      </c>
      <c r="J1340" s="10">
        <f>IF(K1340&gt;0, "Completed", "Pending")</f>
        <v/>
      </c>
      <c r="K1340" s="10">
        <f>COUNTIF('Survey Responses'!F:F, F1340)</f>
        <v/>
      </c>
    </row>
    <row r="1341">
      <c r="A1341" s="10" t="n">
        <v>1340</v>
      </c>
      <c r="B1341" s="11" t="inlineStr">
        <is>
          <t>Barishal-A (GEN-A)</t>
        </is>
      </c>
      <c r="C1341" s="11" t="inlineStr">
        <is>
          <t>Mr. Khairul Alam</t>
        </is>
      </c>
      <c r="D1341" s="11" t="inlineStr">
        <is>
          <t>Barishal GEN-A-2</t>
        </is>
      </c>
      <c r="E1341" s="11" t="inlineStr">
        <is>
          <t>Mr. Md. Azizul Islam Khan</t>
        </is>
      </c>
      <c r="F1341" s="10" t="n">
        <v>10355</v>
      </c>
      <c r="G1341" s="11" t="inlineStr">
        <is>
          <t>Barishal-3</t>
        </is>
      </c>
      <c r="H1341" s="10" t="n">
        <v>1575</v>
      </c>
      <c r="I1341" s="11" t="inlineStr">
        <is>
          <t>Md. Rezaul Islam</t>
        </is>
      </c>
      <c r="J1341" s="10">
        <f>IF(K1341&gt;0, "Completed", "Pending")</f>
        <v/>
      </c>
      <c r="K1341" s="10">
        <f>COUNTIF('Survey Responses'!F:F, F1341)</f>
        <v/>
      </c>
    </row>
    <row r="1342">
      <c r="A1342" s="10" t="n">
        <v>1341</v>
      </c>
      <c r="B1342" s="11" t="inlineStr">
        <is>
          <t>Barishal-A (GEN-A)</t>
        </is>
      </c>
      <c r="C1342" s="11" t="inlineStr">
        <is>
          <t>Mr. Khairul Alam</t>
        </is>
      </c>
      <c r="D1342" s="11" t="inlineStr">
        <is>
          <t>Barishal GEN-A-2</t>
        </is>
      </c>
      <c r="E1342" s="11" t="inlineStr">
        <is>
          <t>Mr. Md. Azizul Islam Khan</t>
        </is>
      </c>
      <c r="F1342" s="10" t="n">
        <v>10361</v>
      </c>
      <c r="G1342" s="11" t="inlineStr">
        <is>
          <t>Barishal-4</t>
        </is>
      </c>
      <c r="H1342" s="10" t="n">
        <v>5301</v>
      </c>
      <c r="I1342" s="11" t="inlineStr">
        <is>
          <t>Mr. Indrozit Kumar Sarna</t>
        </is>
      </c>
      <c r="J1342" s="10">
        <f>IF(K1342&gt;0, "Completed", "Pending")</f>
        <v/>
      </c>
      <c r="K1342" s="10">
        <f>COUNTIF('Survey Responses'!F:F, F1342)</f>
        <v/>
      </c>
    </row>
    <row r="1343">
      <c r="A1343" s="10" t="n">
        <v>1342</v>
      </c>
      <c r="B1343" s="11" t="inlineStr">
        <is>
          <t>Barishal-A (GEN-A)</t>
        </is>
      </c>
      <c r="C1343" s="11" t="inlineStr">
        <is>
          <t>Mr. Khairul Alam</t>
        </is>
      </c>
      <c r="D1343" s="11" t="inlineStr">
        <is>
          <t>Barishal GEN-A-2</t>
        </is>
      </c>
      <c r="E1343" s="11" t="inlineStr">
        <is>
          <t>Mr. Md. Azizul Islam Khan</t>
        </is>
      </c>
      <c r="F1343" s="10" t="n">
        <v>10350</v>
      </c>
      <c r="G1343" s="11" t="inlineStr">
        <is>
          <t>Barishal-5</t>
        </is>
      </c>
      <c r="H1343" s="10" t="n">
        <v>1366</v>
      </c>
      <c r="I1343" s="11" t="inlineStr">
        <is>
          <t>Gopinath Paul</t>
        </is>
      </c>
      <c r="J1343" s="10">
        <f>IF(K1343&gt;0, "Completed", "Pending")</f>
        <v/>
      </c>
      <c r="K1343" s="10">
        <f>COUNTIF('Survey Responses'!F:F, F1343)</f>
        <v/>
      </c>
    </row>
    <row r="1344">
      <c r="A1344" s="10" t="n">
        <v>1343</v>
      </c>
      <c r="B1344" s="11" t="inlineStr">
        <is>
          <t>Barishal-A (GEN-A)</t>
        </is>
      </c>
      <c r="C1344" s="11" t="inlineStr">
        <is>
          <t>Mr. Khairul Alam</t>
        </is>
      </c>
      <c r="D1344" s="11" t="inlineStr">
        <is>
          <t>Barishal GEN-A-2</t>
        </is>
      </c>
      <c r="E1344" s="11" t="inlineStr">
        <is>
          <t>Mr. Md. Azizul Islam Khan</t>
        </is>
      </c>
      <c r="F1344" s="10" t="n">
        <v>10359</v>
      </c>
      <c r="G1344" s="11" t="inlineStr">
        <is>
          <t>Jhalokathi-1</t>
        </is>
      </c>
      <c r="H1344" s="10" t="n">
        <v>2933</v>
      </c>
      <c r="I1344" s="11" t="inlineStr">
        <is>
          <t>Mr. Anupom Roy</t>
        </is>
      </c>
      <c r="J1344" s="10">
        <f>IF(K1344&gt;0, "Completed", "Pending")</f>
        <v/>
      </c>
      <c r="K1344" s="10">
        <f>COUNTIF('Survey Responses'!F:F, F1344)</f>
        <v/>
      </c>
    </row>
    <row r="1345">
      <c r="A1345" s="10" t="n">
        <v>1344</v>
      </c>
      <c r="B1345" s="11" t="inlineStr">
        <is>
          <t>Barishal-A (GEN-A)</t>
        </is>
      </c>
      <c r="C1345" s="11" t="inlineStr">
        <is>
          <t>Mr. Khairul Alam</t>
        </is>
      </c>
      <c r="D1345" s="11" t="inlineStr">
        <is>
          <t>Barishal GEN-A-2</t>
        </is>
      </c>
      <c r="E1345" s="11" t="inlineStr">
        <is>
          <t>Mr. Md. Azizul Islam Khan</t>
        </is>
      </c>
      <c r="F1345" s="10" t="n">
        <v>13096</v>
      </c>
      <c r="G1345" s="11" t="inlineStr">
        <is>
          <t>Jhalokathi-2</t>
        </is>
      </c>
      <c r="H1345" s="10" t="n">
        <v>2734</v>
      </c>
      <c r="I1345" s="11" t="inlineStr">
        <is>
          <t>Md. Atiar Rahman</t>
        </is>
      </c>
      <c r="J1345" s="10">
        <f>IF(K1345&gt;0, "Completed", "Pending")</f>
        <v/>
      </c>
      <c r="K1345" s="10">
        <f>COUNTIF('Survey Responses'!F:F, F1345)</f>
        <v/>
      </c>
    </row>
    <row r="1346">
      <c r="A1346" s="10" t="n">
        <v>1345</v>
      </c>
      <c r="B1346" s="11" t="inlineStr">
        <is>
          <t>Barishal-A (GEN-A)</t>
        </is>
      </c>
      <c r="C1346" s="11" t="inlineStr">
        <is>
          <t>Mr. Khairul Alam</t>
        </is>
      </c>
      <c r="D1346" s="11" t="inlineStr">
        <is>
          <t>Barishal GEN-A-2</t>
        </is>
      </c>
      <c r="E1346" s="11" t="inlineStr">
        <is>
          <t>Mr. Md. Azizul Islam Khan</t>
        </is>
      </c>
      <c r="F1346" s="10" t="n">
        <v>10364</v>
      </c>
      <c r="G1346" s="11" t="inlineStr">
        <is>
          <t>Ujirpur-1</t>
        </is>
      </c>
      <c r="H1346" s="10" t="n">
        <v>1377</v>
      </c>
      <c r="I1346" s="11" t="inlineStr">
        <is>
          <t>Md. Juwel Ali</t>
        </is>
      </c>
      <c r="J1346" s="10">
        <f>IF(K1346&gt;0, "Completed", "Pending")</f>
        <v/>
      </c>
      <c r="K1346" s="10">
        <f>COUNTIF('Survey Responses'!F:F, F1346)</f>
        <v/>
      </c>
    </row>
    <row r="1347">
      <c r="A1347" s="10" t="n">
        <v>1346</v>
      </c>
      <c r="B1347" s="11" t="inlineStr">
        <is>
          <t>Barishal-A (GEN-A)</t>
        </is>
      </c>
      <c r="C1347" s="11" t="inlineStr">
        <is>
          <t>Mr. Khairul Alam</t>
        </is>
      </c>
      <c r="D1347" s="11" t="inlineStr">
        <is>
          <t>Barishal GEN-A-2</t>
        </is>
      </c>
      <c r="E1347" s="11" t="inlineStr">
        <is>
          <t>Mr. Md. Azizul Islam Khan</t>
        </is>
      </c>
      <c r="F1347" s="10" t="n">
        <v>13194</v>
      </c>
      <c r="G1347" s="11" t="inlineStr">
        <is>
          <t>Ujirpur-2</t>
        </is>
      </c>
      <c r="H1347" s="10" t="n">
        <v>5817</v>
      </c>
      <c r="I1347" s="11" t="inlineStr">
        <is>
          <t>Mr. Nahid Hasan</t>
        </is>
      </c>
      <c r="J1347" s="10">
        <f>IF(K1347&gt;0, "Completed", "Pending")</f>
        <v/>
      </c>
      <c r="K1347" s="10">
        <f>COUNTIF('Survey Responses'!F:F, F1347)</f>
        <v/>
      </c>
    </row>
    <row r="1348">
      <c r="A1348" s="10" t="n">
        <v>1347</v>
      </c>
      <c r="B1348" s="11" t="inlineStr">
        <is>
          <t>Barishal-A (GEN-A)</t>
        </is>
      </c>
      <c r="C1348" s="11" t="inlineStr">
        <is>
          <t>Mr. Khairul Alam</t>
        </is>
      </c>
      <c r="D1348" s="11" t="inlineStr">
        <is>
          <t>Barishal GEN-A-3</t>
        </is>
      </c>
      <c r="E1348" s="11" t="inlineStr">
        <is>
          <t>Md. Al Amin Mia</t>
        </is>
      </c>
      <c r="F1348" s="10" t="n">
        <v>10348</v>
      </c>
      <c r="G1348" s="11" t="inlineStr">
        <is>
          <t>Barishal-1</t>
        </is>
      </c>
      <c r="H1348" s="10" t="n">
        <v>2748</v>
      </c>
      <c r="I1348" s="11" t="inlineStr">
        <is>
          <t>Md. Rabiul Islam</t>
        </is>
      </c>
      <c r="J1348" s="10">
        <f>IF(K1348&gt;0, "Completed", "Pending")</f>
        <v/>
      </c>
      <c r="K1348" s="10">
        <f>COUNTIF('Survey Responses'!F:F, F1348)</f>
        <v/>
      </c>
    </row>
    <row r="1349">
      <c r="A1349" s="10" t="n">
        <v>1348</v>
      </c>
      <c r="B1349" s="11" t="inlineStr">
        <is>
          <t>Barishal-A (GEN-A)</t>
        </is>
      </c>
      <c r="C1349" s="11" t="inlineStr">
        <is>
          <t>Mr. Khairul Alam</t>
        </is>
      </c>
      <c r="D1349" s="11" t="inlineStr">
        <is>
          <t>Barishal GEN-A-3</t>
        </is>
      </c>
      <c r="E1349" s="11" t="inlineStr">
        <is>
          <t>Md. Al Amin Mia</t>
        </is>
      </c>
      <c r="F1349" s="10" t="n">
        <v>14503</v>
      </c>
      <c r="G1349" s="11" t="inlineStr">
        <is>
          <t>Barishal-8</t>
        </is>
      </c>
      <c r="H1349" s="10" t="n">
        <v>7498</v>
      </c>
      <c r="I1349" s="11" t="inlineStr">
        <is>
          <t>Mr. Md. Anwar Hussain</t>
        </is>
      </c>
      <c r="J1349" s="10">
        <f>IF(K1349&gt;0, "Completed", "Pending")</f>
        <v/>
      </c>
      <c r="K1349" s="10">
        <f>COUNTIF('Survey Responses'!F:F, F1349)</f>
        <v/>
      </c>
    </row>
    <row r="1350">
      <c r="A1350" s="10" t="n">
        <v>1349</v>
      </c>
      <c r="B1350" s="11" t="inlineStr">
        <is>
          <t>Barishal-A (GEN-A)</t>
        </is>
      </c>
      <c r="C1350" s="11" t="inlineStr">
        <is>
          <t>Mr. Khairul Alam</t>
        </is>
      </c>
      <c r="D1350" s="11" t="inlineStr">
        <is>
          <t>Barishal GEN-A-3</t>
        </is>
      </c>
      <c r="E1350" s="11" t="inlineStr">
        <is>
          <t>Md. Al Amin Mia</t>
        </is>
      </c>
      <c r="F1350" s="10" t="n">
        <v>12552</v>
      </c>
      <c r="G1350" s="11" t="inlineStr">
        <is>
          <t>Hizla</t>
        </is>
      </c>
      <c r="H1350" s="10" t="n">
        <v>1963</v>
      </c>
      <c r="I1350" s="11" t="inlineStr">
        <is>
          <t>Kazi Al Firoz</t>
        </is>
      </c>
      <c r="J1350" s="10">
        <f>IF(K1350&gt;0, "Completed", "Pending")</f>
        <v/>
      </c>
      <c r="K1350" s="10">
        <f>COUNTIF('Survey Responses'!F:F, F1350)</f>
        <v/>
      </c>
    </row>
    <row r="1351">
      <c r="A1351" s="10" t="n">
        <v>1350</v>
      </c>
      <c r="B1351" s="11" t="inlineStr">
        <is>
          <t>Barishal-A (GEN-A)</t>
        </is>
      </c>
      <c r="C1351" s="11" t="inlineStr">
        <is>
          <t>Mr. Khairul Alam</t>
        </is>
      </c>
      <c r="D1351" s="11" t="inlineStr">
        <is>
          <t>Barishal GEN-A-3</t>
        </is>
      </c>
      <c r="E1351" s="11" t="inlineStr">
        <is>
          <t>Md. Al Amin Mia</t>
        </is>
      </c>
      <c r="F1351" s="10" t="n">
        <v>10367</v>
      </c>
      <c r="G1351" s="11" t="inlineStr">
        <is>
          <t>Muladi</t>
        </is>
      </c>
      <c r="H1351" s="10" t="n">
        <v>3658</v>
      </c>
      <c r="I1351" s="11" t="inlineStr">
        <is>
          <t>Mr. Azmatullah</t>
        </is>
      </c>
      <c r="J1351" s="10">
        <f>IF(K1351&gt;0, "Completed", "Pending")</f>
        <v/>
      </c>
      <c r="K1351" s="10">
        <f>COUNTIF('Survey Responses'!F:F, F1351)</f>
        <v/>
      </c>
    </row>
    <row r="1352">
      <c r="A1352" s="10" t="n">
        <v>1351</v>
      </c>
      <c r="B1352" s="11" t="inlineStr">
        <is>
          <t>Barishal-A (GEN-A)</t>
        </is>
      </c>
      <c r="C1352" s="11" t="inlineStr">
        <is>
          <t>Mr. Khairul Alam</t>
        </is>
      </c>
      <c r="D1352" s="11" t="inlineStr">
        <is>
          <t>Barishal GEN-A-3</t>
        </is>
      </c>
      <c r="E1352" s="11" t="inlineStr">
        <is>
          <t>Md. Al Amin Mia</t>
        </is>
      </c>
      <c r="F1352" s="10" t="n">
        <v>10357</v>
      </c>
      <c r="G1352" s="11" t="inlineStr">
        <is>
          <t>SBMCH-1</t>
        </is>
      </c>
      <c r="H1352" s="10" t="n">
        <v>7121</v>
      </c>
      <c r="I1352" s="11" t="inlineStr">
        <is>
          <t>Mr. Nazmus Shakib</t>
        </is>
      </c>
      <c r="J1352" s="10">
        <f>IF(K1352&gt;0, "Completed", "Pending")</f>
        <v/>
      </c>
      <c r="K1352" s="10">
        <f>COUNTIF('Survey Responses'!F:F, F1352)</f>
        <v/>
      </c>
    </row>
    <row r="1353">
      <c r="A1353" s="10" t="n">
        <v>1352</v>
      </c>
      <c r="B1353" s="11" t="inlineStr">
        <is>
          <t>Barishal-A (GEN-A)</t>
        </is>
      </c>
      <c r="C1353" s="11" t="inlineStr">
        <is>
          <t>Mr. Khairul Alam</t>
        </is>
      </c>
      <c r="D1353" s="11" t="inlineStr">
        <is>
          <t>Barishal GEN-A-3</t>
        </is>
      </c>
      <c r="E1353" s="11" t="inlineStr">
        <is>
          <t>Md. Al Amin Mia</t>
        </is>
      </c>
      <c r="F1353" s="10" t="n">
        <v>10356</v>
      </c>
      <c r="G1353" s="11" t="inlineStr">
        <is>
          <t>SBMCH-2</t>
        </is>
      </c>
      <c r="H1353" s="10" t="n">
        <v>6389</v>
      </c>
      <c r="I1353" s="11" t="inlineStr">
        <is>
          <t>Mr. Ajit Chandra Sutradhor</t>
        </is>
      </c>
      <c r="J1353" s="10">
        <f>IF(K1353&gt;0, "Completed", "Pending")</f>
        <v/>
      </c>
      <c r="K1353" s="10">
        <f>COUNTIF('Survey Responses'!F:F, F1353)</f>
        <v/>
      </c>
    </row>
    <row r="1354">
      <c r="A1354" s="10" t="n">
        <v>1353</v>
      </c>
      <c r="B1354" s="11" t="inlineStr">
        <is>
          <t>Barishal-A (GEN-A)</t>
        </is>
      </c>
      <c r="C1354" s="11" t="inlineStr">
        <is>
          <t>Mr. Khairul Alam</t>
        </is>
      </c>
      <c r="D1354" s="11" t="inlineStr">
        <is>
          <t>Barishal GEN-A-3</t>
        </is>
      </c>
      <c r="E1354" s="11" t="inlineStr">
        <is>
          <t>Md. Al Amin Mia</t>
        </is>
      </c>
      <c r="F1354" s="10" t="n">
        <v>10360</v>
      </c>
      <c r="G1354" s="11" t="inlineStr">
        <is>
          <t>SBMCH-3</t>
        </is>
      </c>
      <c r="H1354" s="10" t="n">
        <v>1666</v>
      </c>
      <c r="I1354" s="11" t="inlineStr">
        <is>
          <t>Md. Rezaul Islam</t>
        </is>
      </c>
      <c r="J1354" s="10">
        <f>IF(K1354&gt;0, "Completed", "Pending")</f>
        <v/>
      </c>
      <c r="K1354" s="10">
        <f>COUNTIF('Survey Responses'!F:F, F1354)</f>
        <v/>
      </c>
    </row>
    <row r="1355">
      <c r="A1355" s="10" t="n">
        <v>1354</v>
      </c>
      <c r="B1355" s="11" t="inlineStr">
        <is>
          <t>Barishal-A (GEN-A)</t>
        </is>
      </c>
      <c r="C1355" s="11" t="inlineStr">
        <is>
          <t>Mr. Khairul Alam</t>
        </is>
      </c>
      <c r="D1355" s="11" t="inlineStr">
        <is>
          <t>Gournadi GEN-A-1</t>
        </is>
      </c>
      <c r="E1355" s="11" t="inlineStr">
        <is>
          <t>Mr. Md. Abu Hanif</t>
        </is>
      </c>
      <c r="F1355" s="10" t="n">
        <v>10366</v>
      </c>
      <c r="G1355" s="11" t="inlineStr">
        <is>
          <t>Agailjahara-1</t>
        </is>
      </c>
      <c r="H1355" s="10" t="n">
        <v>2302</v>
      </c>
      <c r="I1355" s="11" t="inlineStr">
        <is>
          <t>Shubradev Sarker</t>
        </is>
      </c>
      <c r="J1355" s="10">
        <f>IF(K1355&gt;0, "Completed", "Pending")</f>
        <v/>
      </c>
      <c r="K1355" s="10">
        <f>COUNTIF('Survey Responses'!F:F, F1355)</f>
        <v/>
      </c>
    </row>
    <row r="1356">
      <c r="A1356" s="10" t="n">
        <v>1355</v>
      </c>
      <c r="B1356" s="11" t="inlineStr">
        <is>
          <t>Barishal-A (GEN-A)</t>
        </is>
      </c>
      <c r="C1356" s="11" t="inlineStr">
        <is>
          <t>Mr. Khairul Alam</t>
        </is>
      </c>
      <c r="D1356" s="11" t="inlineStr">
        <is>
          <t>Gournadi GEN-A-1</t>
        </is>
      </c>
      <c r="E1356" s="11" t="inlineStr">
        <is>
          <t>Mr. Md. Abu Hanif</t>
        </is>
      </c>
      <c r="F1356" s="10" t="n">
        <v>14566</v>
      </c>
      <c r="G1356" s="11" t="inlineStr">
        <is>
          <t>Agailjahara-2</t>
        </is>
      </c>
      <c r="H1356" s="10" t="n">
        <v>7645</v>
      </c>
      <c r="I1356" s="11" t="inlineStr">
        <is>
          <t>Mr. Oshit Kumar</t>
        </is>
      </c>
      <c r="J1356" s="10">
        <f>IF(K1356&gt;0, "Completed", "Pending")</f>
        <v/>
      </c>
      <c r="K1356" s="10">
        <f>COUNTIF('Survey Responses'!F:F, F1356)</f>
        <v/>
      </c>
    </row>
    <row r="1357">
      <c r="A1357" s="10" t="n">
        <v>1356</v>
      </c>
      <c r="B1357" s="11" t="inlineStr">
        <is>
          <t>Barishal-A (GEN-A)</t>
        </is>
      </c>
      <c r="C1357" s="11" t="inlineStr">
        <is>
          <t>Mr. Khairul Alam</t>
        </is>
      </c>
      <c r="D1357" s="11" t="inlineStr">
        <is>
          <t>Gournadi GEN-A-1</t>
        </is>
      </c>
      <c r="E1357" s="11" t="inlineStr">
        <is>
          <t>Mr. Md. Abu Hanif</t>
        </is>
      </c>
      <c r="F1357" s="10" t="n">
        <v>10363</v>
      </c>
      <c r="G1357" s="11" t="inlineStr">
        <is>
          <t>Gaurnadi-1</t>
        </is>
      </c>
      <c r="H1357" s="10" t="n">
        <v>989</v>
      </c>
      <c r="I1357" s="11" t="inlineStr">
        <is>
          <t>Md. Mohibul Islam</t>
        </is>
      </c>
      <c r="J1357" s="10">
        <f>IF(K1357&gt;0, "Completed", "Pending")</f>
        <v/>
      </c>
      <c r="K1357" s="10">
        <f>COUNTIF('Survey Responses'!F:F, F1357)</f>
        <v/>
      </c>
    </row>
    <row r="1358">
      <c r="A1358" s="10" t="n">
        <v>1357</v>
      </c>
      <c r="B1358" s="11" t="inlineStr">
        <is>
          <t>Barishal-A (GEN-A)</t>
        </is>
      </c>
      <c r="C1358" s="11" t="inlineStr">
        <is>
          <t>Mr. Khairul Alam</t>
        </is>
      </c>
      <c r="D1358" s="11" t="inlineStr">
        <is>
          <t>Gournadi GEN-A-1</t>
        </is>
      </c>
      <c r="E1358" s="11" t="inlineStr">
        <is>
          <t>Mr. Md. Abu Hanif</t>
        </is>
      </c>
      <c r="F1358" s="10" t="n">
        <v>12320</v>
      </c>
      <c r="G1358" s="11" t="inlineStr">
        <is>
          <t>Gaurnadi-2</t>
        </is>
      </c>
      <c r="H1358" s="10" t="n">
        <v>2280</v>
      </c>
      <c r="I1358" s="11" t="inlineStr">
        <is>
          <t>Md. Nazmul Islam</t>
        </is>
      </c>
      <c r="J1358" s="10">
        <f>IF(K1358&gt;0, "Completed", "Pending")</f>
        <v/>
      </c>
      <c r="K1358" s="10">
        <f>COUNTIF('Survey Responses'!F:F, F1358)</f>
        <v/>
      </c>
    </row>
    <row r="1359">
      <c r="A1359" s="10" t="n">
        <v>1358</v>
      </c>
      <c r="B1359" s="11" t="inlineStr">
        <is>
          <t>Barishal-A (GEN-A)</t>
        </is>
      </c>
      <c r="C1359" s="11" t="inlineStr">
        <is>
          <t>Mr. Khairul Alam</t>
        </is>
      </c>
      <c r="D1359" s="11" t="inlineStr">
        <is>
          <t>Gournadi GEN-A-1</t>
        </is>
      </c>
      <c r="E1359" s="11" t="inlineStr">
        <is>
          <t>Mr. Md. Abu Hanif</t>
        </is>
      </c>
      <c r="F1359" s="10" t="n">
        <v>13658</v>
      </c>
      <c r="G1359" s="11" t="inlineStr">
        <is>
          <t>Gaurnadi-3</t>
        </is>
      </c>
      <c r="H1359" s="10" t="n">
        <v>7291</v>
      </c>
      <c r="I1359" s="11" t="inlineStr">
        <is>
          <t>Mr. Mohammad Mostafijur Rahman</t>
        </is>
      </c>
      <c r="J1359" s="10">
        <f>IF(K1359&gt;0, "Completed", "Pending")</f>
        <v/>
      </c>
      <c r="K1359" s="10">
        <f>COUNTIF('Survey Responses'!F:F, F1359)</f>
        <v/>
      </c>
    </row>
    <row r="1360">
      <c r="A1360" s="10" t="n">
        <v>1359</v>
      </c>
      <c r="B1360" s="11" t="inlineStr">
        <is>
          <t>Barishal-A (GEN-A)</t>
        </is>
      </c>
      <c r="C1360" s="11" t="inlineStr">
        <is>
          <t>Mr. Khairul Alam</t>
        </is>
      </c>
      <c r="D1360" s="11" t="inlineStr">
        <is>
          <t>Gournadi GEN-A-1</t>
        </is>
      </c>
      <c r="E1360" s="11" t="inlineStr">
        <is>
          <t>Mr. Md. Abu Hanif</t>
        </is>
      </c>
      <c r="F1360" s="10" t="n">
        <v>10450</v>
      </c>
      <c r="G1360" s="11" t="inlineStr">
        <is>
          <t>Kalkini-1</t>
        </is>
      </c>
      <c r="H1360" s="10" t="n">
        <v>784</v>
      </c>
      <c r="I1360" s="11" t="inlineStr">
        <is>
          <t>Md. Emdadul Haque</t>
        </is>
      </c>
      <c r="J1360" s="10">
        <f>IF(K1360&gt;0, "Completed", "Pending")</f>
        <v/>
      </c>
      <c r="K1360" s="10">
        <f>COUNTIF('Survey Responses'!F:F, F1360)</f>
        <v/>
      </c>
    </row>
    <row r="1361">
      <c r="A1361" s="10" t="n">
        <v>1360</v>
      </c>
      <c r="B1361" s="11" t="inlineStr">
        <is>
          <t>Barishal-A (GEN-A)</t>
        </is>
      </c>
      <c r="C1361" s="11" t="inlineStr">
        <is>
          <t>Mr. Khairul Alam</t>
        </is>
      </c>
      <c r="D1361" s="11" t="inlineStr">
        <is>
          <t>Gournadi GEN-A-1</t>
        </is>
      </c>
      <c r="E1361" s="11" t="inlineStr">
        <is>
          <t>Mr. Md. Abu Hanif</t>
        </is>
      </c>
      <c r="F1361" s="10" t="n">
        <v>12352</v>
      </c>
      <c r="G1361" s="11" t="inlineStr">
        <is>
          <t>Kalkini-2</t>
        </is>
      </c>
      <c r="H1361" s="10" t="n">
        <v>3714</v>
      </c>
      <c r="I1361" s="11" t="inlineStr">
        <is>
          <t>Mr. Md. Abdur Rahman</t>
        </is>
      </c>
      <c r="J1361" s="10">
        <f>IF(K1361&gt;0, "Completed", "Pending")</f>
        <v/>
      </c>
      <c r="K1361" s="10">
        <f>COUNTIF('Survey Responses'!F:F, F1361)</f>
        <v/>
      </c>
    </row>
    <row r="1362">
      <c r="A1362" s="10" t="n">
        <v>1361</v>
      </c>
      <c r="B1362" s="11" t="inlineStr">
        <is>
          <t>Barishal-A (GEN-A)</t>
        </is>
      </c>
      <c r="C1362" s="11" t="inlineStr">
        <is>
          <t>Mr. Khairul Alam</t>
        </is>
      </c>
      <c r="D1362" s="11" t="inlineStr">
        <is>
          <t>Mothbaria GEN-A-1</t>
        </is>
      </c>
      <c r="E1362" s="11" t="inlineStr">
        <is>
          <t>Mr. Md. Hafizur Rahman</t>
        </is>
      </c>
      <c r="F1362" s="10" t="n">
        <v>10353</v>
      </c>
      <c r="G1362" s="11" t="inlineStr">
        <is>
          <t>Mothbaria-1</t>
        </is>
      </c>
      <c r="H1362" s="10" t="n">
        <v>5020</v>
      </c>
      <c r="I1362" s="11" t="inlineStr">
        <is>
          <t>Mr. Jubaer</t>
        </is>
      </c>
      <c r="J1362" s="10">
        <f>IF(K1362&gt;0, "Completed", "Pending")</f>
        <v/>
      </c>
      <c r="K1362" s="10">
        <f>COUNTIF('Survey Responses'!F:F, F1362)</f>
        <v/>
      </c>
    </row>
    <row r="1363">
      <c r="A1363" s="10" t="n">
        <v>1362</v>
      </c>
      <c r="B1363" s="11" t="inlineStr">
        <is>
          <t>Barishal-A (GEN-A)</t>
        </is>
      </c>
      <c r="C1363" s="11" t="inlineStr">
        <is>
          <t>Mr. Khairul Alam</t>
        </is>
      </c>
      <c r="D1363" s="11" t="inlineStr">
        <is>
          <t>Mothbaria GEN-A-1</t>
        </is>
      </c>
      <c r="E1363" s="11" t="inlineStr">
        <is>
          <t>Mr. Md. Hafizur Rahman</t>
        </is>
      </c>
      <c r="F1363" s="10" t="n">
        <v>10354</v>
      </c>
      <c r="G1363" s="11" t="inlineStr">
        <is>
          <t>Mothbaria-2</t>
        </is>
      </c>
      <c r="H1363" s="10" t="n">
        <v>1916</v>
      </c>
      <c r="I1363" s="11" t="inlineStr">
        <is>
          <t>Rajib Kumar Roy</t>
        </is>
      </c>
      <c r="J1363" s="10">
        <f>IF(K1363&gt;0, "Completed", "Pending")</f>
        <v/>
      </c>
      <c r="K1363" s="10">
        <f>COUNTIF('Survey Responses'!F:F, F1363)</f>
        <v/>
      </c>
    </row>
    <row r="1364">
      <c r="A1364" s="10" t="n">
        <v>1363</v>
      </c>
      <c r="B1364" s="11" t="inlineStr">
        <is>
          <t>Barishal-A (GEN-A)</t>
        </is>
      </c>
      <c r="C1364" s="11" t="inlineStr">
        <is>
          <t>Mr. Khairul Alam</t>
        </is>
      </c>
      <c r="D1364" s="11" t="inlineStr">
        <is>
          <t>Mothbaria GEN-A-1</t>
        </is>
      </c>
      <c r="E1364" s="11" t="inlineStr">
        <is>
          <t>Mr. Md. Hafizur Rahman</t>
        </is>
      </c>
      <c r="F1364" s="10" t="n">
        <v>12233</v>
      </c>
      <c r="G1364" s="11" t="inlineStr">
        <is>
          <t>Mothbaria-3</t>
        </is>
      </c>
      <c r="H1364" s="10" t="n">
        <v>8751</v>
      </c>
      <c r="I1364" s="11" t="inlineStr">
        <is>
          <t>Mr. Md. Ashikur Rahman</t>
        </is>
      </c>
      <c r="J1364" s="10">
        <f>IF(K1364&gt;0, "Completed", "Pending")</f>
        <v/>
      </c>
      <c r="K1364" s="10">
        <f>COUNTIF('Survey Responses'!F:F, F1364)</f>
        <v/>
      </c>
    </row>
    <row r="1365">
      <c r="A1365" s="10" t="n">
        <v>1364</v>
      </c>
      <c r="B1365" s="11" t="inlineStr">
        <is>
          <t>Barishal-A (GEN-A)</t>
        </is>
      </c>
      <c r="C1365" s="11" t="inlineStr">
        <is>
          <t>Mr. Khairul Alam</t>
        </is>
      </c>
      <c r="D1365" s="11" t="inlineStr">
        <is>
          <t>Mothbaria GEN-A-1</t>
        </is>
      </c>
      <c r="E1365" s="11" t="inlineStr">
        <is>
          <t>Mr. Md. Hafizur Rahman</t>
        </is>
      </c>
      <c r="F1365" s="10" t="n">
        <v>10358</v>
      </c>
      <c r="G1365" s="11" t="inlineStr">
        <is>
          <t>Rajapur-1</t>
        </is>
      </c>
      <c r="H1365" s="10" t="n">
        <v>3746</v>
      </c>
      <c r="I1365" s="11" t="inlineStr">
        <is>
          <t>Mr. Md. Nirob Hosen</t>
        </is>
      </c>
      <c r="J1365" s="10">
        <f>IF(K1365&gt;0, "Completed", "Pending")</f>
        <v/>
      </c>
      <c r="K1365" s="10">
        <f>COUNTIF('Survey Responses'!F:F, F1365)</f>
        <v/>
      </c>
    </row>
    <row r="1366">
      <c r="A1366" s="10" t="n">
        <v>1365</v>
      </c>
      <c r="B1366" s="11" t="inlineStr">
        <is>
          <t>Barishal-A (GEN-A)</t>
        </is>
      </c>
      <c r="C1366" s="11" t="inlineStr">
        <is>
          <t>Mr. Khairul Alam</t>
        </is>
      </c>
      <c r="D1366" s="11" t="inlineStr">
        <is>
          <t>Mothbaria GEN-A-1</t>
        </is>
      </c>
      <c r="E1366" s="11" t="inlineStr">
        <is>
          <t>Mr. Md. Hafizur Rahman</t>
        </is>
      </c>
      <c r="F1366" s="10" t="n">
        <v>13025</v>
      </c>
      <c r="G1366" s="11" t="inlineStr">
        <is>
          <t>Rajapur-2</t>
        </is>
      </c>
      <c r="H1366" s="10" t="n">
        <v>5339</v>
      </c>
      <c r="I1366" s="11" t="inlineStr">
        <is>
          <t>Mr. Md. Waliur Rahman</t>
        </is>
      </c>
      <c r="J1366" s="10">
        <f>IF(K1366&gt;0, "Completed", "Pending")</f>
        <v/>
      </c>
      <c r="K1366" s="10">
        <f>COUNTIF('Survey Responses'!F:F, F1366)</f>
        <v/>
      </c>
    </row>
    <row r="1367">
      <c r="A1367" s="10" t="n">
        <v>1366</v>
      </c>
      <c r="B1367" s="11" t="inlineStr">
        <is>
          <t>Barishal-A (GEN-A)</t>
        </is>
      </c>
      <c r="C1367" s="11" t="inlineStr">
        <is>
          <t>Mr. Khairul Alam</t>
        </is>
      </c>
      <c r="D1367" s="11" t="inlineStr">
        <is>
          <t>Mothbaria GEN-A-1</t>
        </is>
      </c>
      <c r="E1367" s="11" t="inlineStr">
        <is>
          <t>Mr. Md. Hafizur Rahman</t>
        </is>
      </c>
      <c r="F1367" s="10" t="n">
        <v>10362</v>
      </c>
      <c r="G1367" s="11" t="inlineStr">
        <is>
          <t>Vandaria-1</t>
        </is>
      </c>
      <c r="H1367" s="10" t="n">
        <v>2393</v>
      </c>
      <c r="I1367" s="11" t="inlineStr">
        <is>
          <t>Md. Sultan Ahmed</t>
        </is>
      </c>
      <c r="J1367" s="10">
        <f>IF(K1367&gt;0, "Completed", "Pending")</f>
        <v/>
      </c>
      <c r="K1367" s="10">
        <f>COUNTIF('Survey Responses'!F:F, F1367)</f>
        <v/>
      </c>
    </row>
    <row r="1368">
      <c r="A1368" s="10" t="n">
        <v>1367</v>
      </c>
      <c r="B1368" s="11" t="inlineStr">
        <is>
          <t>Barishal-A (GEN-A)</t>
        </is>
      </c>
      <c r="C1368" s="11" t="inlineStr">
        <is>
          <t>Mr. Khairul Alam</t>
        </is>
      </c>
      <c r="D1368" s="11" t="inlineStr">
        <is>
          <t>Mothbaria GEN-A-1</t>
        </is>
      </c>
      <c r="E1368" s="11" t="inlineStr">
        <is>
          <t>Mr. Md. Hafizur Rahman</t>
        </is>
      </c>
      <c r="F1368" s="10" t="n">
        <v>13084</v>
      </c>
      <c r="G1368" s="11" t="inlineStr">
        <is>
          <t>Vandaria-2</t>
        </is>
      </c>
      <c r="H1368" s="10" t="n">
        <v>7567</v>
      </c>
      <c r="I1368" s="11" t="inlineStr">
        <is>
          <t>Mr. Md. Atosh Mia</t>
        </is>
      </c>
      <c r="J1368" s="10">
        <f>IF(K1368&gt;0, "Completed", "Pending")</f>
        <v/>
      </c>
      <c r="K1368" s="10">
        <f>COUNTIF('Survey Responses'!F:F, F1368)</f>
        <v/>
      </c>
    </row>
    <row r="1369">
      <c r="A1369" s="10" t="n">
        <v>1368</v>
      </c>
      <c r="B1369" s="11" t="inlineStr">
        <is>
          <t>Barishal-A (GEN-A)</t>
        </is>
      </c>
      <c r="C1369" s="11" t="inlineStr">
        <is>
          <t>Mr. Khairul Alam</t>
        </is>
      </c>
      <c r="D1369" s="11" t="inlineStr">
        <is>
          <t>Patuakhali GEN-A-1</t>
        </is>
      </c>
      <c r="E1369" s="11" t="inlineStr">
        <is>
          <t>Mr. Bilash Kumar Biswas</t>
        </is>
      </c>
      <c r="F1369" s="10" t="n">
        <v>12585</v>
      </c>
      <c r="G1369" s="11" t="inlineStr">
        <is>
          <t>Dumki-1</t>
        </is>
      </c>
      <c r="H1369" s="10" t="n">
        <v>1795</v>
      </c>
      <c r="I1369" s="11" t="inlineStr">
        <is>
          <t>Md. Rabiul Islam</t>
        </is>
      </c>
      <c r="J1369" s="10">
        <f>IF(K1369&gt;0, "Completed", "Pending")</f>
        <v/>
      </c>
      <c r="K1369" s="10">
        <f>COUNTIF('Survey Responses'!F:F, F1369)</f>
        <v/>
      </c>
    </row>
    <row r="1370">
      <c r="A1370" s="10" t="n">
        <v>1369</v>
      </c>
      <c r="B1370" s="11" t="inlineStr">
        <is>
          <t>Barishal-A (GEN-A)</t>
        </is>
      </c>
      <c r="C1370" s="11" t="inlineStr">
        <is>
          <t>Mr. Khairul Alam</t>
        </is>
      </c>
      <c r="D1370" s="11" t="inlineStr">
        <is>
          <t>Patuakhali GEN-A-1</t>
        </is>
      </c>
      <c r="E1370" s="11" t="inlineStr">
        <is>
          <t>Mr. Bilash Kumar Biswas</t>
        </is>
      </c>
      <c r="F1370" s="10" t="n">
        <v>10381</v>
      </c>
      <c r="G1370" s="11" t="inlineStr">
        <is>
          <t>Galachipa-1</t>
        </is>
      </c>
      <c r="H1370" s="10" t="n">
        <v>2857</v>
      </c>
      <c r="I1370" s="11" t="inlineStr">
        <is>
          <t>Md. Lotifur Rahman</t>
        </is>
      </c>
      <c r="J1370" s="10">
        <f>IF(K1370&gt;0, "Completed", "Pending")</f>
        <v/>
      </c>
      <c r="K1370" s="10">
        <f>COUNTIF('Survey Responses'!F:F, F1370)</f>
        <v/>
      </c>
    </row>
    <row r="1371">
      <c r="A1371" s="10" t="n">
        <v>1370</v>
      </c>
      <c r="B1371" s="11" t="inlineStr">
        <is>
          <t>Barishal-A (GEN-A)</t>
        </is>
      </c>
      <c r="C1371" s="11" t="inlineStr">
        <is>
          <t>Mr. Khairul Alam</t>
        </is>
      </c>
      <c r="D1371" s="11" t="inlineStr">
        <is>
          <t>Patuakhali GEN-A-1</t>
        </is>
      </c>
      <c r="E1371" s="11" t="inlineStr">
        <is>
          <t>Mr. Bilash Kumar Biswas</t>
        </is>
      </c>
      <c r="F1371" s="10" t="n">
        <v>12198</v>
      </c>
      <c r="G1371" s="11" t="inlineStr">
        <is>
          <t>Galachipa-2</t>
        </is>
      </c>
      <c r="H1371" s="10" t="n">
        <v>4047</v>
      </c>
      <c r="I1371" s="11" t="inlineStr">
        <is>
          <t>Md. Abdul Zabber</t>
        </is>
      </c>
      <c r="J1371" s="10">
        <f>IF(K1371&gt;0, "Completed", "Pending")</f>
        <v/>
      </c>
      <c r="K1371" s="10">
        <f>COUNTIF('Survey Responses'!F:F, F1371)</f>
        <v/>
      </c>
    </row>
    <row r="1372">
      <c r="A1372" s="10" t="n">
        <v>1371</v>
      </c>
      <c r="B1372" s="11" t="inlineStr">
        <is>
          <t>Barishal-A (GEN-A)</t>
        </is>
      </c>
      <c r="C1372" s="11" t="inlineStr">
        <is>
          <t>Mr. Khairul Alam</t>
        </is>
      </c>
      <c r="D1372" s="11" t="inlineStr">
        <is>
          <t>Patuakhali GEN-A-1</t>
        </is>
      </c>
      <c r="E1372" s="11" t="inlineStr">
        <is>
          <t>Mr. Bilash Kumar Biswas</t>
        </is>
      </c>
      <c r="F1372" s="10" t="n">
        <v>10388</v>
      </c>
      <c r="G1372" s="11" t="inlineStr">
        <is>
          <t>Kalapara-1</t>
        </is>
      </c>
      <c r="H1372" s="10" t="n">
        <v>2770</v>
      </c>
      <c r="I1372" s="11" t="inlineStr">
        <is>
          <t>Tapon Chandra Paul</t>
        </is>
      </c>
      <c r="J1372" s="10">
        <f>IF(K1372&gt;0, "Completed", "Pending")</f>
        <v/>
      </c>
      <c r="K1372" s="10">
        <f>COUNTIF('Survey Responses'!F:F, F1372)</f>
        <v/>
      </c>
    </row>
    <row r="1373">
      <c r="A1373" s="10" t="n">
        <v>1372</v>
      </c>
      <c r="B1373" s="11" t="inlineStr">
        <is>
          <t>Barishal-A (GEN-A)</t>
        </is>
      </c>
      <c r="C1373" s="11" t="inlineStr">
        <is>
          <t>Mr. Khairul Alam</t>
        </is>
      </c>
      <c r="D1373" s="11" t="inlineStr">
        <is>
          <t>Patuakhali GEN-A-1</t>
        </is>
      </c>
      <c r="E1373" s="11" t="inlineStr">
        <is>
          <t>Mr. Bilash Kumar Biswas</t>
        </is>
      </c>
      <c r="F1373" s="10" t="n">
        <v>10389</v>
      </c>
      <c r="G1373" s="11" t="inlineStr">
        <is>
          <t>Kalapara-2</t>
        </is>
      </c>
      <c r="H1373" s="10" t="n">
        <v>1777</v>
      </c>
      <c r="I1373" s="11" t="inlineStr">
        <is>
          <t>Mr. Kanaram</t>
        </is>
      </c>
      <c r="J1373" s="10">
        <f>IF(K1373&gt;0, "Completed", "Pending")</f>
        <v/>
      </c>
      <c r="K1373" s="10">
        <f>COUNTIF('Survey Responses'!F:F, F1373)</f>
        <v/>
      </c>
    </row>
    <row r="1374">
      <c r="A1374" s="10" t="n">
        <v>1373</v>
      </c>
      <c r="B1374" s="11" t="inlineStr">
        <is>
          <t>Barishal-A (GEN-A)</t>
        </is>
      </c>
      <c r="C1374" s="11" t="inlineStr">
        <is>
          <t>Mr. Khairul Alam</t>
        </is>
      </c>
      <c r="D1374" s="11" t="inlineStr">
        <is>
          <t>Patuakhali GEN-A-1</t>
        </is>
      </c>
      <c r="E1374" s="11" t="inlineStr">
        <is>
          <t>Mr. Bilash Kumar Biswas</t>
        </is>
      </c>
      <c r="F1374" s="10" t="n">
        <v>10383</v>
      </c>
      <c r="G1374" s="11" t="inlineStr">
        <is>
          <t>Patuakhali-1</t>
        </is>
      </c>
      <c r="H1374" s="10" t="n">
        <v>3614</v>
      </c>
      <c r="I1374" s="11" t="inlineStr">
        <is>
          <t>Mr. Kamran Hossen</t>
        </is>
      </c>
      <c r="J1374" s="10">
        <f>IF(K1374&gt;0, "Completed", "Pending")</f>
        <v/>
      </c>
      <c r="K1374" s="10">
        <f>COUNTIF('Survey Responses'!F:F, F1374)</f>
        <v/>
      </c>
    </row>
    <row r="1375">
      <c r="A1375" s="10" t="n">
        <v>1374</v>
      </c>
      <c r="B1375" s="11" t="inlineStr">
        <is>
          <t>Barishal-A (GEN-A)</t>
        </is>
      </c>
      <c r="C1375" s="11" t="inlineStr">
        <is>
          <t>Mr. Khairul Alam</t>
        </is>
      </c>
      <c r="D1375" s="11" t="inlineStr">
        <is>
          <t>Patuakhali GEN-A-1</t>
        </is>
      </c>
      <c r="E1375" s="11" t="inlineStr">
        <is>
          <t>Mr. Bilash Kumar Biswas</t>
        </is>
      </c>
      <c r="F1375" s="10" t="n">
        <v>10380</v>
      </c>
      <c r="G1375" s="11" t="inlineStr">
        <is>
          <t>Patuakhali-2</t>
        </is>
      </c>
      <c r="H1375" s="10" t="n">
        <v>6714</v>
      </c>
      <c r="I1375" s="11" t="inlineStr">
        <is>
          <t>Mr. Md. Abu Abdullah</t>
        </is>
      </c>
      <c r="J1375" s="10">
        <f>IF(K1375&gt;0, "Completed", "Pending")</f>
        <v/>
      </c>
      <c r="K1375" s="10">
        <f>COUNTIF('Survey Responses'!F:F, F1375)</f>
        <v/>
      </c>
    </row>
    <row r="1376">
      <c r="A1376" s="10" t="n">
        <v>1375</v>
      </c>
      <c r="B1376" s="11" t="inlineStr">
        <is>
          <t>Barishal-A (GEN-A)</t>
        </is>
      </c>
      <c r="C1376" s="11" t="inlineStr">
        <is>
          <t>Mr. Khairul Alam</t>
        </is>
      </c>
      <c r="D1376" s="11" t="inlineStr">
        <is>
          <t>Patuakhali GEN-A-1</t>
        </is>
      </c>
      <c r="E1376" s="11" t="inlineStr">
        <is>
          <t>Mr. Bilash Kumar Biswas</t>
        </is>
      </c>
      <c r="F1376" s="10" t="n">
        <v>14504</v>
      </c>
      <c r="G1376" s="11" t="inlineStr">
        <is>
          <t xml:space="preserve">Rangabali-1 </t>
        </is>
      </c>
      <c r="H1376" s="10" t="n">
        <v>7499</v>
      </c>
      <c r="I1376" s="11" t="inlineStr">
        <is>
          <t>Mr. Md. Jahid Hasan</t>
        </is>
      </c>
      <c r="J1376" s="10">
        <f>IF(K1376&gt;0, "Completed", "Pending")</f>
        <v/>
      </c>
      <c r="K1376" s="10">
        <f>COUNTIF('Survey Responses'!F:F, F1376)</f>
        <v/>
      </c>
    </row>
    <row r="1377">
      <c r="A1377" s="10" t="n">
        <v>1376</v>
      </c>
      <c r="B1377" s="11" t="inlineStr">
        <is>
          <t>Barishal-A (GEN-A)</t>
        </is>
      </c>
      <c r="C1377" s="11" t="inlineStr">
        <is>
          <t>Mr. Khairul Alam</t>
        </is>
      </c>
      <c r="D1377" s="11" t="inlineStr">
        <is>
          <t>Patuakhali GEN-A-2</t>
        </is>
      </c>
      <c r="E1377" s="11" t="inlineStr">
        <is>
          <t>Mr. Sujan Kumar Saha</t>
        </is>
      </c>
      <c r="F1377" s="10" t="n">
        <v>10379</v>
      </c>
      <c r="G1377" s="11" t="inlineStr">
        <is>
          <t>Bakergonj-1</t>
        </is>
      </c>
      <c r="H1377" s="10" t="n">
        <v>1403</v>
      </c>
      <c r="I1377" s="11" t="inlineStr">
        <is>
          <t>Md. Nazmull Hasan</t>
        </is>
      </c>
      <c r="J1377" s="10">
        <f>IF(K1377&gt;0, "Completed", "Pending")</f>
        <v/>
      </c>
      <c r="K1377" s="10">
        <f>COUNTIF('Survey Responses'!F:F, F1377)</f>
        <v/>
      </c>
    </row>
    <row r="1378">
      <c r="A1378" s="10" t="n">
        <v>1377</v>
      </c>
      <c r="B1378" s="11" t="inlineStr">
        <is>
          <t>Barishal-A (GEN-A)</t>
        </is>
      </c>
      <c r="C1378" s="11" t="inlineStr">
        <is>
          <t>Mr. Khairul Alam</t>
        </is>
      </c>
      <c r="D1378" s="11" t="inlineStr">
        <is>
          <t>Patuakhali GEN-A-2</t>
        </is>
      </c>
      <c r="E1378" s="11" t="inlineStr">
        <is>
          <t>Mr. Sujan Kumar Saha</t>
        </is>
      </c>
      <c r="F1378" s="10" t="n">
        <v>14131</v>
      </c>
      <c r="G1378" s="11" t="inlineStr">
        <is>
          <t>Bakergonj-2</t>
        </is>
      </c>
      <c r="H1378" s="10" t="n">
        <v>2536</v>
      </c>
      <c r="I1378" s="11" t="inlineStr">
        <is>
          <t>Abdus Salam</t>
        </is>
      </c>
      <c r="J1378" s="10">
        <f>IF(K1378&gt;0, "Completed", "Pending")</f>
        <v/>
      </c>
      <c r="K1378" s="10">
        <f>COUNTIF('Survey Responses'!F:F, F1378)</f>
        <v/>
      </c>
    </row>
    <row r="1379">
      <c r="A1379" s="10" t="n">
        <v>1378</v>
      </c>
      <c r="B1379" s="11" t="inlineStr">
        <is>
          <t>Barishal-A (GEN-A)</t>
        </is>
      </c>
      <c r="C1379" s="11" t="inlineStr">
        <is>
          <t>Mr. Khairul Alam</t>
        </is>
      </c>
      <c r="D1379" s="11" t="inlineStr">
        <is>
          <t>Patuakhali GEN-A-2</t>
        </is>
      </c>
      <c r="E1379" s="11" t="inlineStr">
        <is>
          <t>Mr. Sujan Kumar Saha</t>
        </is>
      </c>
      <c r="F1379" s="10" t="n">
        <v>10382</v>
      </c>
      <c r="G1379" s="11" t="inlineStr">
        <is>
          <t>Bawfal-1</t>
        </is>
      </c>
      <c r="H1379" s="10" t="n">
        <v>5045</v>
      </c>
      <c r="I1379" s="11" t="inlineStr">
        <is>
          <t>Mr. K.M. Ataur Rahman</t>
        </is>
      </c>
      <c r="J1379" s="10">
        <f>IF(K1379&gt;0, "Completed", "Pending")</f>
        <v/>
      </c>
      <c r="K1379" s="10">
        <f>COUNTIF('Survey Responses'!F:F, F1379)</f>
        <v/>
      </c>
    </row>
    <row r="1380">
      <c r="A1380" s="10" t="n">
        <v>1379</v>
      </c>
      <c r="B1380" s="11" t="inlineStr">
        <is>
          <t>Barishal-A (GEN-A)</t>
        </is>
      </c>
      <c r="C1380" s="11" t="inlineStr">
        <is>
          <t>Mr. Khairul Alam</t>
        </is>
      </c>
      <c r="D1380" s="11" t="inlineStr">
        <is>
          <t>Patuakhali GEN-A-2</t>
        </is>
      </c>
      <c r="E1380" s="11" t="inlineStr">
        <is>
          <t>Mr. Sujan Kumar Saha</t>
        </is>
      </c>
      <c r="F1380" s="10" t="n">
        <v>12684</v>
      </c>
      <c r="G1380" s="11" t="inlineStr">
        <is>
          <t>Bawfal-2</t>
        </is>
      </c>
      <c r="H1380" s="10" t="n">
        <v>4195</v>
      </c>
      <c r="I1380" s="11" t="inlineStr">
        <is>
          <t>Mr. Asraful Islam</t>
        </is>
      </c>
      <c r="J1380" s="10">
        <f>IF(K1380&gt;0, "Completed", "Pending")</f>
        <v/>
      </c>
      <c r="K1380" s="10">
        <f>COUNTIF('Survey Responses'!F:F, F1380)</f>
        <v/>
      </c>
    </row>
    <row r="1381">
      <c r="A1381" s="10" t="n">
        <v>1380</v>
      </c>
      <c r="B1381" s="11" t="inlineStr">
        <is>
          <t>Barishal-A (GEN-A)</t>
        </is>
      </c>
      <c r="C1381" s="11" t="inlineStr">
        <is>
          <t>Mr. Khairul Alam</t>
        </is>
      </c>
      <c r="D1381" s="11" t="inlineStr">
        <is>
          <t>Patuakhali GEN-A-2</t>
        </is>
      </c>
      <c r="E1381" s="11" t="inlineStr">
        <is>
          <t>Mr. Sujan Kumar Saha</t>
        </is>
      </c>
      <c r="F1381" s="10" t="n">
        <v>10385</v>
      </c>
      <c r="G1381" s="11" t="inlineStr">
        <is>
          <t>Dashmina</t>
        </is>
      </c>
      <c r="H1381" s="10" t="n">
        <v>2600</v>
      </c>
      <c r="I1381" s="11" t="inlineStr">
        <is>
          <t>Md. Nazmul Hasan</t>
        </is>
      </c>
      <c r="J1381" s="10">
        <f>IF(K1381&gt;0, "Completed", "Pending")</f>
        <v/>
      </c>
      <c r="K1381" s="10">
        <f>COUNTIF('Survey Responses'!F:F, F1381)</f>
        <v/>
      </c>
    </row>
    <row r="1382">
      <c r="A1382" s="10" t="n">
        <v>1381</v>
      </c>
      <c r="B1382" s="11" t="inlineStr">
        <is>
          <t>Barishal-A (GEN-A)</t>
        </is>
      </c>
      <c r="C1382" s="11" t="inlineStr">
        <is>
          <t>Mr. Khairul Alam</t>
        </is>
      </c>
      <c r="D1382" s="11" t="inlineStr">
        <is>
          <t>Patuakhali GEN-A-2</t>
        </is>
      </c>
      <c r="E1382" s="11" t="inlineStr">
        <is>
          <t>Mr. Sujan Kumar Saha</t>
        </is>
      </c>
      <c r="F1382" s="10" t="n">
        <v>10378</v>
      </c>
      <c r="G1382" s="11" t="inlineStr">
        <is>
          <t>Patuakhali-3</t>
        </is>
      </c>
      <c r="H1382" s="10" t="n">
        <v>6960</v>
      </c>
      <c r="I1382" s="11" t="inlineStr">
        <is>
          <t>Mr. Md. Rafiqul Islam</t>
        </is>
      </c>
      <c r="J1382" s="10">
        <f>IF(K1382&gt;0, "Completed", "Pending")</f>
        <v/>
      </c>
      <c r="K1382" s="10">
        <f>COUNTIF('Survey Responses'!F:F, F1382)</f>
        <v/>
      </c>
    </row>
    <row r="1383">
      <c r="A1383" s="10" t="n">
        <v>1382</v>
      </c>
      <c r="B1383" s="11" t="inlineStr">
        <is>
          <t>Barishal-A (GEN-A)</t>
        </is>
      </c>
      <c r="C1383" s="11" t="inlineStr">
        <is>
          <t>Mr. Khairul Alam</t>
        </is>
      </c>
      <c r="D1383" s="11" t="inlineStr">
        <is>
          <t>Patuakhali GEN-A-2</t>
        </is>
      </c>
      <c r="E1383" s="11" t="inlineStr">
        <is>
          <t>Mr. Sujan Kumar Saha</t>
        </is>
      </c>
      <c r="F1383" s="10" t="n">
        <v>12910</v>
      </c>
      <c r="G1383" s="11" t="inlineStr">
        <is>
          <t>Patuakhali-4</t>
        </is>
      </c>
      <c r="H1383" s="10" t="n">
        <v>2405</v>
      </c>
      <c r="I1383" s="11" t="inlineStr">
        <is>
          <t>Md. Omar Faruk</t>
        </is>
      </c>
      <c r="J1383" s="10">
        <f>IF(K1383&gt;0, "Completed", "Pending")</f>
        <v/>
      </c>
      <c r="K1383" s="10">
        <f>COUNTIF('Survey Responses'!F:F, F1383)</f>
        <v/>
      </c>
    </row>
    <row r="1384">
      <c r="A1384" s="10" t="n">
        <v>1383</v>
      </c>
      <c r="B1384" s="11" t="inlineStr">
        <is>
          <t>Barishal-B (GEN-A)</t>
        </is>
      </c>
      <c r="C1384" s="11" t="inlineStr">
        <is>
          <t>Mr. Shamimur Rahman</t>
        </is>
      </c>
      <c r="D1384" s="11" t="inlineStr">
        <is>
          <t>Barishal GEN-A-1</t>
        </is>
      </c>
      <c r="E1384" s="11" t="inlineStr">
        <is>
          <t>Mr. Sujit Kumar Dutta</t>
        </is>
      </c>
      <c r="F1384" s="10" t="n">
        <v>10369</v>
      </c>
      <c r="G1384" s="11" t="inlineStr">
        <is>
          <t>Banaripara</t>
        </is>
      </c>
      <c r="H1384" s="10" t="n">
        <v>3010</v>
      </c>
      <c r="I1384" s="11" t="inlineStr">
        <is>
          <t>Md. Sohel Rana</t>
        </is>
      </c>
      <c r="J1384" s="10">
        <f>IF(K1384&gt;0, "Completed", "Pending")</f>
        <v/>
      </c>
      <c r="K1384" s="10">
        <f>COUNTIF('Survey Responses'!F:F, F1384)</f>
        <v/>
      </c>
    </row>
    <row r="1385">
      <c r="A1385" s="10" t="n">
        <v>1384</v>
      </c>
      <c r="B1385" s="11" t="inlineStr">
        <is>
          <t>Barishal-B (GEN-A)</t>
        </is>
      </c>
      <c r="C1385" s="11" t="inlineStr">
        <is>
          <t>Mr. Shamimur Rahman</t>
        </is>
      </c>
      <c r="D1385" s="11" t="inlineStr">
        <is>
          <t>Barishal GEN-A-1</t>
        </is>
      </c>
      <c r="E1385" s="11" t="inlineStr">
        <is>
          <t>Mr. Sujit Kumar Dutta</t>
        </is>
      </c>
      <c r="F1385" s="10" t="n">
        <v>14901</v>
      </c>
      <c r="G1385" s="11" t="inlineStr">
        <is>
          <t>Banaripara-2</t>
        </is>
      </c>
      <c r="H1385" s="10" t="n">
        <v>9093</v>
      </c>
      <c r="I1385" s="11" t="inlineStr">
        <is>
          <t>Mr. Mohammad Arafat Hossain</t>
        </is>
      </c>
      <c r="J1385" s="10">
        <f>IF(K1385&gt;0, "Completed", "Pending")</f>
        <v/>
      </c>
      <c r="K1385" s="10">
        <f>COUNTIF('Survey Responses'!F:F, F1385)</f>
        <v/>
      </c>
    </row>
    <row r="1386">
      <c r="A1386" s="10" t="n">
        <v>1385</v>
      </c>
      <c r="B1386" s="11" t="inlineStr">
        <is>
          <t>Barishal-B (GEN-A)</t>
        </is>
      </c>
      <c r="C1386" s="11" t="inlineStr">
        <is>
          <t>Mr. Shamimur Rahman</t>
        </is>
      </c>
      <c r="D1386" s="11" t="inlineStr">
        <is>
          <t>Barishal GEN-A-1</t>
        </is>
      </c>
      <c r="E1386" s="11" t="inlineStr">
        <is>
          <t>Mr. Sujit Kumar Dutta</t>
        </is>
      </c>
      <c r="F1386" s="10" t="n">
        <v>10349</v>
      </c>
      <c r="G1386" s="11" t="inlineStr">
        <is>
          <t>Barishal-2</t>
        </is>
      </c>
      <c r="H1386" s="10" t="n">
        <v>2318</v>
      </c>
      <c r="I1386" s="11" t="inlineStr">
        <is>
          <t>Md. Akbar Ali Khan</t>
        </is>
      </c>
      <c r="J1386" s="10">
        <f>IF(K1386&gt;0, "Completed", "Pending")</f>
        <v/>
      </c>
      <c r="K1386" s="10">
        <f>COUNTIF('Survey Responses'!F:F, F1386)</f>
        <v/>
      </c>
    </row>
    <row r="1387">
      <c r="A1387" s="10" t="n">
        <v>1386</v>
      </c>
      <c r="B1387" s="11" t="inlineStr">
        <is>
          <t>Barishal-B (GEN-A)</t>
        </is>
      </c>
      <c r="C1387" s="11" t="inlineStr">
        <is>
          <t>Mr. Shamimur Rahman</t>
        </is>
      </c>
      <c r="D1387" s="11" t="inlineStr">
        <is>
          <t>Barishal GEN-A-1</t>
        </is>
      </c>
      <c r="E1387" s="11" t="inlineStr">
        <is>
          <t>Mr. Sujit Kumar Dutta</t>
        </is>
      </c>
      <c r="F1387" s="10" t="n">
        <v>10351</v>
      </c>
      <c r="G1387" s="11" t="inlineStr">
        <is>
          <t>Barishal-6</t>
        </is>
      </c>
      <c r="H1387" s="10" t="n">
        <v>5017</v>
      </c>
      <c r="I1387" s="11" t="inlineStr">
        <is>
          <t>Mr. Md. Al Amin</t>
        </is>
      </c>
      <c r="J1387" s="10">
        <f>IF(K1387&gt;0, "Completed", "Pending")</f>
        <v/>
      </c>
      <c r="K1387" s="10">
        <f>COUNTIF('Survey Responses'!F:F, F1387)</f>
        <v/>
      </c>
    </row>
    <row r="1388">
      <c r="A1388" s="10" t="n">
        <v>1387</v>
      </c>
      <c r="B1388" s="11" t="inlineStr">
        <is>
          <t>Barishal-B (GEN-A)</t>
        </is>
      </c>
      <c r="C1388" s="11" t="inlineStr">
        <is>
          <t>Mr. Shamimur Rahman</t>
        </is>
      </c>
      <c r="D1388" s="11" t="inlineStr">
        <is>
          <t>Barishal GEN-A-1</t>
        </is>
      </c>
      <c r="E1388" s="11" t="inlineStr">
        <is>
          <t>Mr. Sujit Kumar Dutta</t>
        </is>
      </c>
      <c r="F1388" s="10" t="n">
        <v>10352</v>
      </c>
      <c r="G1388" s="11" t="inlineStr">
        <is>
          <t>Barishal-7</t>
        </is>
      </c>
      <c r="H1388" s="10" t="n">
        <v>2028</v>
      </c>
      <c r="I1388" s="11" t="inlineStr">
        <is>
          <t>Md. Abdullah-Al-Masud</t>
        </is>
      </c>
      <c r="J1388" s="10">
        <f>IF(K1388&gt;0, "Completed", "Pending")</f>
        <v/>
      </c>
      <c r="K1388" s="10">
        <f>COUNTIF('Survey Responses'!F:F, F1388)</f>
        <v/>
      </c>
    </row>
    <row r="1389">
      <c r="A1389" s="10" t="n">
        <v>1388</v>
      </c>
      <c r="B1389" s="11" t="inlineStr">
        <is>
          <t>Barishal-B (GEN-A)</t>
        </is>
      </c>
      <c r="C1389" s="11" t="inlineStr">
        <is>
          <t>Mr. Shamimur Rahman</t>
        </is>
      </c>
      <c r="D1389" s="11" t="inlineStr">
        <is>
          <t>Barishal GEN-A-1</t>
        </is>
      </c>
      <c r="E1389" s="11" t="inlineStr">
        <is>
          <t>Mr. Sujit Kumar Dutta</t>
        </is>
      </c>
      <c r="F1389" s="10" t="n">
        <v>13235</v>
      </c>
      <c r="G1389" s="11" t="inlineStr">
        <is>
          <t>Nalcity-1</t>
        </is>
      </c>
      <c r="H1389" s="10" t="n">
        <v>5873</v>
      </c>
      <c r="I1389" s="11" t="inlineStr">
        <is>
          <t>Mr. Gowranga Chandra Sarker</t>
        </is>
      </c>
      <c r="J1389" s="10">
        <f>IF(K1389&gt;0, "Completed", "Pending")</f>
        <v/>
      </c>
      <c r="K1389" s="10">
        <f>COUNTIF('Survey Responses'!F:F, F1389)</f>
        <v/>
      </c>
    </row>
    <row r="1390">
      <c r="A1390" s="10" t="n">
        <v>1389</v>
      </c>
      <c r="B1390" s="11" t="inlineStr">
        <is>
          <t>Barishal-B (GEN-A)</t>
        </is>
      </c>
      <c r="C1390" s="11" t="inlineStr">
        <is>
          <t>Mr. Shamimur Rahman</t>
        </is>
      </c>
      <c r="D1390" s="11" t="inlineStr">
        <is>
          <t>Barishal GEN-A-1</t>
        </is>
      </c>
      <c r="E1390" s="11" t="inlineStr">
        <is>
          <t>Mr. Sujit Kumar Dutta</t>
        </is>
      </c>
      <c r="F1390" s="10" t="n">
        <v>10365</v>
      </c>
      <c r="G1390" s="11" t="inlineStr">
        <is>
          <t>Swarupkathi-1</t>
        </is>
      </c>
      <c r="H1390" s="10" t="n">
        <v>8942</v>
      </c>
      <c r="I1390" s="11" t="inlineStr">
        <is>
          <t>Mr. Md. Nazmul Kabir Piyas</t>
        </is>
      </c>
      <c r="J1390" s="10">
        <f>IF(K1390&gt;0, "Completed", "Pending")</f>
        <v/>
      </c>
      <c r="K1390" s="10">
        <f>COUNTIF('Survey Responses'!F:F, F1390)</f>
        <v/>
      </c>
    </row>
    <row r="1391">
      <c r="A1391" s="10" t="n">
        <v>1390</v>
      </c>
      <c r="B1391" s="11" t="inlineStr">
        <is>
          <t>Barishal-B (GEN-A)</t>
        </is>
      </c>
      <c r="C1391" s="11" t="inlineStr">
        <is>
          <t>Mr. Shamimur Rahman</t>
        </is>
      </c>
      <c r="D1391" s="11" t="inlineStr">
        <is>
          <t>Barishal GEN-A-1</t>
        </is>
      </c>
      <c r="E1391" s="11" t="inlineStr">
        <is>
          <t>Mr. Sujit Kumar Dutta</t>
        </is>
      </c>
      <c r="F1391" s="10" t="n">
        <v>12357</v>
      </c>
      <c r="G1391" s="11" t="inlineStr">
        <is>
          <t>Swarupkathi-2</t>
        </is>
      </c>
      <c r="H1391" s="10" t="n">
        <v>3748</v>
      </c>
      <c r="I1391" s="11" t="inlineStr">
        <is>
          <t>Mr. Jibon Kumar Dash</t>
        </is>
      </c>
      <c r="J1391" s="10">
        <f>IF(K1391&gt;0, "Completed", "Pending")</f>
        <v/>
      </c>
      <c r="K1391" s="10">
        <f>COUNTIF('Survey Responses'!F:F, F1391)</f>
        <v/>
      </c>
    </row>
    <row r="1392">
      <c r="A1392" s="10" t="n">
        <v>1391</v>
      </c>
      <c r="B1392" s="11" t="inlineStr">
        <is>
          <t>Barishal-B (GEN-A)</t>
        </is>
      </c>
      <c r="C1392" s="11" t="inlineStr">
        <is>
          <t>Mr. Shamimur Rahman</t>
        </is>
      </c>
      <c r="D1392" s="11" t="inlineStr">
        <is>
          <t>Bhola GEN-A-1</t>
        </is>
      </c>
      <c r="E1392" s="11" t="inlineStr">
        <is>
          <t>Mr. Md. Sorwer Hossain</t>
        </is>
      </c>
      <c r="F1392" s="10" t="n">
        <v>13024</v>
      </c>
      <c r="G1392" s="11" t="inlineStr">
        <is>
          <t>Bangla Bazar-1</t>
        </is>
      </c>
      <c r="H1392" s="10" t="n">
        <v>5336</v>
      </c>
      <c r="I1392" s="11" t="inlineStr">
        <is>
          <t>Mr. Milan Malakar</t>
        </is>
      </c>
      <c r="J1392" s="10">
        <f>IF(K1392&gt;0, "Completed", "Pending")</f>
        <v/>
      </c>
      <c r="K1392" s="10">
        <f>COUNTIF('Survey Responses'!F:F, F1392)</f>
        <v/>
      </c>
    </row>
    <row r="1393">
      <c r="A1393" s="10" t="n">
        <v>1392</v>
      </c>
      <c r="B1393" s="11" t="inlineStr">
        <is>
          <t>Barishal-B (GEN-A)</t>
        </is>
      </c>
      <c r="C1393" s="11" t="inlineStr">
        <is>
          <t>Mr. Shamimur Rahman</t>
        </is>
      </c>
      <c r="D1393" s="11" t="inlineStr">
        <is>
          <t>Bhola GEN-A-1</t>
        </is>
      </c>
      <c r="E1393" s="11" t="inlineStr">
        <is>
          <t>Mr. Md. Sorwer Hossain</t>
        </is>
      </c>
      <c r="F1393" s="10" t="n">
        <v>10371</v>
      </c>
      <c r="G1393" s="11" t="inlineStr">
        <is>
          <t>Bhola-1</t>
        </is>
      </c>
      <c r="H1393" s="10" t="n">
        <v>6826</v>
      </c>
      <c r="I1393" s="11" t="inlineStr">
        <is>
          <t>Mr. Md. Jeaur Rahman</t>
        </is>
      </c>
      <c r="J1393" s="10">
        <f>IF(K1393&gt;0, "Completed", "Pending")</f>
        <v/>
      </c>
      <c r="K1393" s="10">
        <f>COUNTIF('Survey Responses'!F:F, F1393)</f>
        <v/>
      </c>
    </row>
    <row r="1394">
      <c r="A1394" s="10" t="n">
        <v>1393</v>
      </c>
      <c r="B1394" s="11" t="inlineStr">
        <is>
          <t>Barishal-B (GEN-A)</t>
        </is>
      </c>
      <c r="C1394" s="11" t="inlineStr">
        <is>
          <t>Mr. Shamimur Rahman</t>
        </is>
      </c>
      <c r="D1394" s="11" t="inlineStr">
        <is>
          <t>Bhola GEN-A-1</t>
        </is>
      </c>
      <c r="E1394" s="11" t="inlineStr">
        <is>
          <t>Mr. Md. Sorwer Hossain</t>
        </is>
      </c>
      <c r="F1394" s="10" t="n">
        <v>10370</v>
      </c>
      <c r="G1394" s="11" t="inlineStr">
        <is>
          <t>Bhola-2</t>
        </is>
      </c>
      <c r="H1394" s="10" t="n">
        <v>6908</v>
      </c>
      <c r="I1394" s="11" t="inlineStr">
        <is>
          <t>Mr. Md. Abdul Hakim</t>
        </is>
      </c>
      <c r="J1394" s="10">
        <f>IF(K1394&gt;0, "Completed", "Pending")</f>
        <v/>
      </c>
      <c r="K1394" s="10">
        <f>COUNTIF('Survey Responses'!F:F, F1394)</f>
        <v/>
      </c>
    </row>
    <row r="1395">
      <c r="A1395" s="10" t="n">
        <v>1394</v>
      </c>
      <c r="B1395" s="11" t="inlineStr">
        <is>
          <t>Barishal-B (GEN-A)</t>
        </is>
      </c>
      <c r="C1395" s="11" t="inlineStr">
        <is>
          <t>Mr. Shamimur Rahman</t>
        </is>
      </c>
      <c r="D1395" s="11" t="inlineStr">
        <is>
          <t>Bhola GEN-A-1</t>
        </is>
      </c>
      <c r="E1395" s="11" t="inlineStr">
        <is>
          <t>Mr. Md. Sorwer Hossain</t>
        </is>
      </c>
      <c r="F1395" s="10" t="n">
        <v>10372</v>
      </c>
      <c r="G1395" s="11" t="inlineStr">
        <is>
          <t>Bhola-3</t>
        </is>
      </c>
      <c r="H1395" s="10" t="n">
        <v>1707</v>
      </c>
      <c r="I1395" s="11" t="inlineStr">
        <is>
          <t>Sukumar Ray</t>
        </is>
      </c>
      <c r="J1395" s="10">
        <f>IF(K1395&gt;0, "Completed", "Pending")</f>
        <v/>
      </c>
      <c r="K1395" s="10">
        <f>COUNTIF('Survey Responses'!F:F, F1395)</f>
        <v/>
      </c>
    </row>
    <row r="1396">
      <c r="A1396" s="10" t="n">
        <v>1395</v>
      </c>
      <c r="B1396" s="11" t="inlineStr">
        <is>
          <t>Barishal-B (GEN-A)</t>
        </is>
      </c>
      <c r="C1396" s="11" t="inlineStr">
        <is>
          <t>Mr. Shamimur Rahman</t>
        </is>
      </c>
      <c r="D1396" s="11" t="inlineStr">
        <is>
          <t>Bhola GEN-A-1</t>
        </is>
      </c>
      <c r="E1396" s="11" t="inlineStr">
        <is>
          <t>Mr. Md. Sorwer Hossain</t>
        </is>
      </c>
      <c r="F1396" s="10" t="n">
        <v>12355</v>
      </c>
      <c r="G1396" s="11" t="inlineStr">
        <is>
          <t>Bhola-4</t>
        </is>
      </c>
      <c r="H1396" s="10" t="n">
        <v>6327</v>
      </c>
      <c r="I1396" s="11" t="inlineStr">
        <is>
          <t>Mr. Md. Islamuddin Sardar</t>
        </is>
      </c>
      <c r="J1396" s="10">
        <f>IF(K1396&gt;0, "Completed", "Pending")</f>
        <v/>
      </c>
      <c r="K1396" s="10">
        <f>COUNTIF('Survey Responses'!F:F, F1396)</f>
        <v/>
      </c>
    </row>
    <row r="1397">
      <c r="A1397" s="10" t="n">
        <v>1396</v>
      </c>
      <c r="B1397" s="11" t="inlineStr">
        <is>
          <t>Barishal-B (GEN-A)</t>
        </is>
      </c>
      <c r="C1397" s="11" t="inlineStr">
        <is>
          <t>Mr. Shamimur Rahman</t>
        </is>
      </c>
      <c r="D1397" s="11" t="inlineStr">
        <is>
          <t>Bhola GEN-A-1</t>
        </is>
      </c>
      <c r="E1397" s="11" t="inlineStr">
        <is>
          <t>Mr. Md. Sorwer Hossain</t>
        </is>
      </c>
      <c r="F1397" s="10" t="n">
        <v>11815</v>
      </c>
      <c r="G1397" s="11" t="inlineStr">
        <is>
          <t>Daulatkhan-1</t>
        </is>
      </c>
      <c r="H1397" s="10" t="n">
        <v>1419</v>
      </c>
      <c r="I1397" s="11" t="inlineStr">
        <is>
          <t>Md. Mamunur Rashid Bepari</t>
        </is>
      </c>
      <c r="J1397" s="10">
        <f>IF(K1397&gt;0, "Completed", "Pending")</f>
        <v/>
      </c>
      <c r="K1397" s="10">
        <f>COUNTIF('Survey Responses'!F:F, F1397)</f>
        <v/>
      </c>
    </row>
    <row r="1398">
      <c r="A1398" s="10" t="n">
        <v>1397</v>
      </c>
      <c r="B1398" s="11" t="inlineStr">
        <is>
          <t>Barishal-B (GEN-A)</t>
        </is>
      </c>
      <c r="C1398" s="11" t="inlineStr">
        <is>
          <t>Mr. Shamimur Rahman</t>
        </is>
      </c>
      <c r="D1398" s="11" t="inlineStr">
        <is>
          <t>Bhola GEN-A-1</t>
        </is>
      </c>
      <c r="E1398" s="11" t="inlineStr">
        <is>
          <t>Mr. Md. Sorwer Hossain</t>
        </is>
      </c>
      <c r="F1398" s="10" t="n">
        <v>10368</v>
      </c>
      <c r="G1398" s="11" t="inlineStr">
        <is>
          <t>Mehendiganj</t>
        </is>
      </c>
      <c r="H1398" s="10" t="n">
        <v>2092</v>
      </c>
      <c r="I1398" s="11" t="inlineStr">
        <is>
          <t>Debdash Ray</t>
        </is>
      </c>
      <c r="J1398" s="10">
        <f>IF(K1398&gt;0, "Completed", "Pending")</f>
        <v/>
      </c>
      <c r="K1398" s="10">
        <f>COUNTIF('Survey Responses'!F:F, F1398)</f>
        <v/>
      </c>
    </row>
    <row r="1399">
      <c r="A1399" s="10" t="n">
        <v>1398</v>
      </c>
      <c r="B1399" s="11" t="inlineStr">
        <is>
          <t>Barishal-B (GEN-A)</t>
        </is>
      </c>
      <c r="C1399" s="11" t="inlineStr">
        <is>
          <t>Mr. Shamimur Rahman</t>
        </is>
      </c>
      <c r="D1399" s="11" t="inlineStr">
        <is>
          <t>Charfashion GEN-A-1</t>
        </is>
      </c>
      <c r="E1399" s="11" t="inlineStr">
        <is>
          <t>Mr. Sumon Ranjan Das</t>
        </is>
      </c>
      <c r="F1399" s="10" t="n">
        <v>10374</v>
      </c>
      <c r="G1399" s="11" t="inlineStr">
        <is>
          <t>Charfashion-1</t>
        </is>
      </c>
      <c r="H1399" s="10" t="n">
        <v>5980</v>
      </c>
      <c r="I1399" s="11" t="inlineStr">
        <is>
          <t>Mr. Gobinda Chowdhuri</t>
        </is>
      </c>
      <c r="J1399" s="10">
        <f>IF(K1399&gt;0, "Completed", "Pending")</f>
        <v/>
      </c>
      <c r="K1399" s="10">
        <f>COUNTIF('Survey Responses'!F:F, F1399)</f>
        <v/>
      </c>
    </row>
    <row r="1400">
      <c r="A1400" s="10" t="n">
        <v>1399</v>
      </c>
      <c r="B1400" s="11" t="inlineStr">
        <is>
          <t>Barishal-B (GEN-A)</t>
        </is>
      </c>
      <c r="C1400" s="11" t="inlineStr">
        <is>
          <t>Mr. Shamimur Rahman</t>
        </is>
      </c>
      <c r="D1400" s="11" t="inlineStr">
        <is>
          <t>Charfashion GEN-A-1</t>
        </is>
      </c>
      <c r="E1400" s="11" t="inlineStr">
        <is>
          <t>Mr. Sumon Ranjan Das</t>
        </is>
      </c>
      <c r="F1400" s="10" t="n">
        <v>10375</v>
      </c>
      <c r="G1400" s="11" t="inlineStr">
        <is>
          <t>Charfashion-2</t>
        </is>
      </c>
      <c r="H1400" s="10" t="n">
        <v>1367</v>
      </c>
      <c r="I1400" s="11" t="inlineStr">
        <is>
          <t>Md. Yusuf</t>
        </is>
      </c>
      <c r="J1400" s="10">
        <f>IF(K1400&gt;0, "Completed", "Pending")</f>
        <v/>
      </c>
      <c r="K1400" s="10">
        <f>COUNTIF('Survey Responses'!F:F, F1400)</f>
        <v/>
      </c>
    </row>
    <row r="1401">
      <c r="A1401" s="10" t="n">
        <v>1400</v>
      </c>
      <c r="B1401" s="11" t="inlineStr">
        <is>
          <t>Barishal-B (GEN-A)</t>
        </is>
      </c>
      <c r="C1401" s="11" t="inlineStr">
        <is>
          <t>Mr. Shamimur Rahman</t>
        </is>
      </c>
      <c r="D1401" s="11" t="inlineStr">
        <is>
          <t>Charfashion GEN-A-1</t>
        </is>
      </c>
      <c r="E1401" s="11" t="inlineStr">
        <is>
          <t>Mr. Sumon Ranjan Das</t>
        </is>
      </c>
      <c r="F1401" s="10" t="n">
        <v>11783</v>
      </c>
      <c r="G1401" s="11" t="inlineStr">
        <is>
          <t>Charfashion-3</t>
        </is>
      </c>
      <c r="H1401" s="10" t="n">
        <v>1052</v>
      </c>
      <c r="I1401" s="11" t="inlineStr">
        <is>
          <t>Md. Manwar Hossain Farid</t>
        </is>
      </c>
      <c r="J1401" s="10">
        <f>IF(K1401&gt;0, "Completed", "Pending")</f>
        <v/>
      </c>
      <c r="K1401" s="10">
        <f>COUNTIF('Survey Responses'!F:F, F1401)</f>
        <v/>
      </c>
    </row>
    <row r="1402">
      <c r="A1402" s="10" t="n">
        <v>1401</v>
      </c>
      <c r="B1402" s="11" t="inlineStr">
        <is>
          <t>Barishal-B (GEN-A)</t>
        </is>
      </c>
      <c r="C1402" s="11" t="inlineStr">
        <is>
          <t>Mr. Shamimur Rahman</t>
        </is>
      </c>
      <c r="D1402" s="11" t="inlineStr">
        <is>
          <t>Charfashion GEN-A-1</t>
        </is>
      </c>
      <c r="E1402" s="11" t="inlineStr">
        <is>
          <t>Mr. Sumon Ranjan Das</t>
        </is>
      </c>
      <c r="F1402" s="10" t="n">
        <v>12407</v>
      </c>
      <c r="G1402" s="11" t="inlineStr">
        <is>
          <t>Charfashion-4</t>
        </is>
      </c>
      <c r="H1402" s="10" t="n">
        <v>3813</v>
      </c>
      <c r="I1402" s="11" t="inlineStr">
        <is>
          <t>Mr. Abdul Motalleb</t>
        </is>
      </c>
      <c r="J1402" s="10">
        <f>IF(K1402&gt;0, "Completed", "Pending")</f>
        <v/>
      </c>
      <c r="K1402" s="10">
        <f>COUNTIF('Survey Responses'!F:F, F1402)</f>
        <v/>
      </c>
    </row>
    <row r="1403">
      <c r="A1403" s="10" t="n">
        <v>1402</v>
      </c>
      <c r="B1403" s="11" t="inlineStr">
        <is>
          <t>Barishal-B (GEN-A)</t>
        </is>
      </c>
      <c r="C1403" s="11" t="inlineStr">
        <is>
          <t>Mr. Shamimur Rahman</t>
        </is>
      </c>
      <c r="D1403" s="11" t="inlineStr">
        <is>
          <t>Charfashion GEN-A-1</t>
        </is>
      </c>
      <c r="E1403" s="11" t="inlineStr">
        <is>
          <t>Mr. Sumon Ranjan Das</t>
        </is>
      </c>
      <c r="F1403" s="10" t="n">
        <v>14505</v>
      </c>
      <c r="G1403" s="11" t="inlineStr">
        <is>
          <t>Charfashion-5</t>
        </is>
      </c>
      <c r="H1403" s="10" t="n">
        <v>7500</v>
      </c>
      <c r="I1403" s="11" t="inlineStr">
        <is>
          <t>Mr. Md. Ruhul Amin</t>
        </is>
      </c>
      <c r="J1403" s="10">
        <f>IF(K1403&gt;0, "Completed", "Pending")</f>
        <v/>
      </c>
      <c r="K1403" s="10">
        <f>COUNTIF('Survey Responses'!F:F, F1403)</f>
        <v/>
      </c>
    </row>
    <row r="1404">
      <c r="A1404" s="10" t="n">
        <v>1403</v>
      </c>
      <c r="B1404" s="11" t="inlineStr">
        <is>
          <t>Barishal-B (GEN-A)</t>
        </is>
      </c>
      <c r="C1404" s="11" t="inlineStr">
        <is>
          <t>Mr. Shamimur Rahman</t>
        </is>
      </c>
      <c r="D1404" s="11" t="inlineStr">
        <is>
          <t>Charfashion GEN-A-1</t>
        </is>
      </c>
      <c r="E1404" s="11" t="inlineStr">
        <is>
          <t>Mr. Sumon Ranjan Das</t>
        </is>
      </c>
      <c r="F1404" s="10" t="n">
        <v>12547</v>
      </c>
      <c r="G1404" s="11" t="inlineStr">
        <is>
          <t>Monpura-1</t>
        </is>
      </c>
      <c r="H1404" s="10" t="n">
        <v>3617</v>
      </c>
      <c r="I1404" s="11" t="inlineStr">
        <is>
          <t>Mr. Md. Arman</t>
        </is>
      </c>
      <c r="J1404" s="10">
        <f>IF(K1404&gt;0, "Completed", "Pending")</f>
        <v/>
      </c>
      <c r="K1404" s="10">
        <f>COUNTIF('Survey Responses'!F:F, F1404)</f>
        <v/>
      </c>
    </row>
    <row r="1405">
      <c r="A1405" s="10" t="n">
        <v>1404</v>
      </c>
      <c r="B1405" s="11" t="inlineStr">
        <is>
          <t>Barishal-B (GEN-A)</t>
        </is>
      </c>
      <c r="C1405" s="11" t="inlineStr">
        <is>
          <t>Mr. Shamimur Rahman</t>
        </is>
      </c>
      <c r="D1405" s="11" t="inlineStr">
        <is>
          <t>Charfashion GEN-A-1</t>
        </is>
      </c>
      <c r="E1405" s="11" t="inlineStr">
        <is>
          <t>Mr. Sumon Ranjan Das</t>
        </is>
      </c>
      <c r="F1405" s="10" t="n">
        <v>12953</v>
      </c>
      <c r="G1405" s="11" t="inlineStr">
        <is>
          <t>South Aicha-1</t>
        </is>
      </c>
      <c r="H1405" s="10" t="n">
        <v>8849</v>
      </c>
      <c r="I1405" s="11" t="inlineStr">
        <is>
          <t>Mr. Md. Samim Miah</t>
        </is>
      </c>
      <c r="J1405" s="10">
        <f>IF(K1405&gt;0, "Completed", "Pending")</f>
        <v/>
      </c>
      <c r="K1405" s="10">
        <f>COUNTIF('Survey Responses'!F:F, F1405)</f>
        <v/>
      </c>
    </row>
    <row r="1406">
      <c r="A1406" s="10" t="n">
        <v>1405</v>
      </c>
      <c r="B1406" s="11" t="inlineStr">
        <is>
          <t>Barishal-B (GEN-A)</t>
        </is>
      </c>
      <c r="C1406" s="11" t="inlineStr">
        <is>
          <t>Mr. Shamimur Rahman</t>
        </is>
      </c>
      <c r="D1406" s="11" t="inlineStr">
        <is>
          <t>Lalmohon GEN-A-1</t>
        </is>
      </c>
      <c r="E1406" s="11" t="inlineStr">
        <is>
          <t>Mr. Md. Abdur Razzak Mia</t>
        </is>
      </c>
      <c r="F1406" s="10" t="n">
        <v>10373</v>
      </c>
      <c r="G1406" s="11" t="inlineStr">
        <is>
          <t>Burhanuddin</t>
        </is>
      </c>
      <c r="H1406" s="10" t="n">
        <v>1218</v>
      </c>
      <c r="I1406" s="11" t="inlineStr">
        <is>
          <t>Md. Raju Hosen</t>
        </is>
      </c>
      <c r="J1406" s="10">
        <f>IF(K1406&gt;0, "Completed", "Pending")</f>
        <v/>
      </c>
      <c r="K1406" s="10">
        <f>COUNTIF('Survey Responses'!F:F, F1406)</f>
        <v/>
      </c>
    </row>
    <row r="1407">
      <c r="A1407" s="10" t="n">
        <v>1406</v>
      </c>
      <c r="B1407" s="11" t="inlineStr">
        <is>
          <t>Barishal-B (GEN-A)</t>
        </is>
      </c>
      <c r="C1407" s="11" t="inlineStr">
        <is>
          <t>Mr. Shamimur Rahman</t>
        </is>
      </c>
      <c r="D1407" s="11" t="inlineStr">
        <is>
          <t>Lalmohon GEN-A-1</t>
        </is>
      </c>
      <c r="E1407" s="11" t="inlineStr">
        <is>
          <t>Mr. Md. Abdur Razzak Mia</t>
        </is>
      </c>
      <c r="F1407" s="10" t="n">
        <v>12285</v>
      </c>
      <c r="G1407" s="11" t="inlineStr">
        <is>
          <t>Burhanuddin-2</t>
        </is>
      </c>
      <c r="H1407" s="10" t="n">
        <v>3664</v>
      </c>
      <c r="I1407" s="11" t="inlineStr">
        <is>
          <t>Mr. Sagor Suter</t>
        </is>
      </c>
      <c r="J1407" s="10">
        <f>IF(K1407&gt;0, "Completed", "Pending")</f>
        <v/>
      </c>
      <c r="K1407" s="10">
        <f>COUNTIF('Survey Responses'!F:F, F1407)</f>
        <v/>
      </c>
    </row>
    <row r="1408">
      <c r="A1408" s="10" t="n">
        <v>1407</v>
      </c>
      <c r="B1408" s="11" t="inlineStr">
        <is>
          <t>Barishal-B (GEN-A)</t>
        </is>
      </c>
      <c r="C1408" s="11" t="inlineStr">
        <is>
          <t>Mr. Shamimur Rahman</t>
        </is>
      </c>
      <c r="D1408" s="11" t="inlineStr">
        <is>
          <t>Lalmohon GEN-A-1</t>
        </is>
      </c>
      <c r="E1408" s="11" t="inlineStr">
        <is>
          <t>Mr. Md. Abdur Razzak Mia</t>
        </is>
      </c>
      <c r="F1408" s="10" t="n">
        <v>14506</v>
      </c>
      <c r="G1408" s="11" t="inlineStr">
        <is>
          <t>Burhanuddin-3</t>
        </is>
      </c>
      <c r="H1408" s="10" t="n">
        <v>7501</v>
      </c>
      <c r="I1408" s="11" t="inlineStr">
        <is>
          <t>Mr. Jony Islam</t>
        </is>
      </c>
      <c r="J1408" s="10">
        <f>IF(K1408&gt;0, "Completed", "Pending")</f>
        <v/>
      </c>
      <c r="K1408" s="10">
        <f>COUNTIF('Survey Responses'!F:F, F1408)</f>
        <v/>
      </c>
    </row>
    <row r="1409">
      <c r="A1409" s="10" t="n">
        <v>1408</v>
      </c>
      <c r="B1409" s="11" t="inlineStr">
        <is>
          <t>Barishal-B (GEN-A)</t>
        </is>
      </c>
      <c r="C1409" s="11" t="inlineStr">
        <is>
          <t>Mr. Shamimur Rahman</t>
        </is>
      </c>
      <c r="D1409" s="11" t="inlineStr">
        <is>
          <t>Lalmohon GEN-A-1</t>
        </is>
      </c>
      <c r="E1409" s="11" t="inlineStr">
        <is>
          <t>Mr. Md. Abdur Razzak Mia</t>
        </is>
      </c>
      <c r="F1409" s="10" t="n">
        <v>10376</v>
      </c>
      <c r="G1409" s="11" t="inlineStr">
        <is>
          <t>Lalmohan-1</t>
        </is>
      </c>
      <c r="H1409" s="10" t="n">
        <v>9064</v>
      </c>
      <c r="I1409" s="11" t="inlineStr">
        <is>
          <t>Mr. Md. Maminul Islam</t>
        </is>
      </c>
      <c r="J1409" s="10">
        <f>IF(K1409&gt;0, "Completed", "Pending")</f>
        <v/>
      </c>
      <c r="K1409" s="10">
        <f>COUNTIF('Survey Responses'!F:F, F1409)</f>
        <v/>
      </c>
    </row>
    <row r="1410">
      <c r="A1410" s="10" t="n">
        <v>1409</v>
      </c>
      <c r="B1410" s="11" t="inlineStr">
        <is>
          <t>Barishal-B (GEN-A)</t>
        </is>
      </c>
      <c r="C1410" s="11" t="inlineStr">
        <is>
          <t>Mr. Shamimur Rahman</t>
        </is>
      </c>
      <c r="D1410" s="11" t="inlineStr">
        <is>
          <t>Lalmohon GEN-A-1</t>
        </is>
      </c>
      <c r="E1410" s="11" t="inlineStr">
        <is>
          <t>Mr. Md. Abdur Razzak Mia</t>
        </is>
      </c>
      <c r="F1410" s="10" t="n">
        <v>10377</v>
      </c>
      <c r="G1410" s="11" t="inlineStr">
        <is>
          <t>Lalmohan-2</t>
        </is>
      </c>
      <c r="H1410" s="10" t="n">
        <v>3009</v>
      </c>
      <c r="I1410" s="11" t="inlineStr">
        <is>
          <t>Md. Khademul Islam</t>
        </is>
      </c>
      <c r="J1410" s="10">
        <f>IF(K1410&gt;0, "Completed", "Pending")</f>
        <v/>
      </c>
      <c r="K1410" s="10">
        <f>COUNTIF('Survey Responses'!F:F, F1410)</f>
        <v/>
      </c>
    </row>
    <row r="1411">
      <c r="A1411" s="10" t="n">
        <v>1410</v>
      </c>
      <c r="B1411" s="11" t="inlineStr">
        <is>
          <t>Barishal-B (GEN-A)</t>
        </is>
      </c>
      <c r="C1411" s="11" t="inlineStr">
        <is>
          <t>Mr. Shamimur Rahman</t>
        </is>
      </c>
      <c r="D1411" s="11" t="inlineStr">
        <is>
          <t>Lalmohon GEN-A-1</t>
        </is>
      </c>
      <c r="E1411" s="11" t="inlineStr">
        <is>
          <t>Mr. Md. Abdur Razzak Mia</t>
        </is>
      </c>
      <c r="F1411" s="10" t="n">
        <v>12359</v>
      </c>
      <c r="G1411" s="11" t="inlineStr">
        <is>
          <t>Lalmohan-3</t>
        </is>
      </c>
      <c r="H1411" s="10" t="n">
        <v>8752</v>
      </c>
      <c r="I1411" s="11" t="inlineStr">
        <is>
          <t>Mr. Md. Nazim Shakh</t>
        </is>
      </c>
      <c r="J1411" s="10">
        <f>IF(K1411&gt;0, "Completed", "Pending")</f>
        <v/>
      </c>
      <c r="K1411" s="10">
        <f>COUNTIF('Survey Responses'!F:F, F1411)</f>
        <v/>
      </c>
    </row>
    <row r="1412">
      <c r="A1412" s="10" t="n">
        <v>1411</v>
      </c>
      <c r="B1412" s="11" t="inlineStr">
        <is>
          <t>Barishal-B (GEN-A)</t>
        </is>
      </c>
      <c r="C1412" s="11" t="inlineStr">
        <is>
          <t>Mr. Shamimur Rahman</t>
        </is>
      </c>
      <c r="D1412" s="11" t="inlineStr">
        <is>
          <t>Lalmohon GEN-A-1</t>
        </is>
      </c>
      <c r="E1412" s="11" t="inlineStr">
        <is>
          <t>Mr. Md. Abdur Razzak Mia</t>
        </is>
      </c>
      <c r="F1412" s="10" t="n">
        <v>12356</v>
      </c>
      <c r="G1412" s="11" t="inlineStr">
        <is>
          <t>Tozumuddin-1</t>
        </is>
      </c>
      <c r="H1412" s="10" t="n">
        <v>3734</v>
      </c>
      <c r="I1412" s="11" t="inlineStr">
        <is>
          <t>Mr. Saifuddin Ahammad</t>
        </is>
      </c>
      <c r="J1412" s="10">
        <f>IF(K1412&gt;0, "Completed", "Pending")</f>
        <v/>
      </c>
      <c r="K1412" s="10">
        <f>COUNTIF('Survey Responses'!F:F, F1412)</f>
        <v/>
      </c>
    </row>
    <row r="1413">
      <c r="A1413" s="10" t="n">
        <v>1412</v>
      </c>
      <c r="B1413" s="11" t="inlineStr">
        <is>
          <t>Barishal-B (GEN-A)</t>
        </is>
      </c>
      <c r="C1413" s="11" t="inlineStr">
        <is>
          <t>Mr. Shamimur Rahman</t>
        </is>
      </c>
      <c r="D1413" s="11" t="inlineStr">
        <is>
          <t>Madaripur GEN-A-1</t>
        </is>
      </c>
      <c r="E1413" s="11" t="inlineStr">
        <is>
          <t>Mr. Md. Abu Jafar Siddik</t>
        </is>
      </c>
      <c r="F1413" s="10" t="n">
        <v>10451</v>
      </c>
      <c r="G1413" s="11" t="inlineStr">
        <is>
          <t>Madaripur-1</t>
        </is>
      </c>
      <c r="H1413" s="10" t="n">
        <v>1406</v>
      </c>
      <c r="I1413" s="11" t="inlineStr">
        <is>
          <t>Md. Shafiqul Islam</t>
        </is>
      </c>
      <c r="J1413" s="10">
        <f>IF(K1413&gt;0, "Completed", "Pending")</f>
        <v/>
      </c>
      <c r="K1413" s="10">
        <f>COUNTIF('Survey Responses'!F:F, F1413)</f>
        <v/>
      </c>
    </row>
    <row r="1414">
      <c r="A1414" s="10" t="n">
        <v>1413</v>
      </c>
      <c r="B1414" s="11" t="inlineStr">
        <is>
          <t>Barishal-B (GEN-A)</t>
        </is>
      </c>
      <c r="C1414" s="11" t="inlineStr">
        <is>
          <t>Mr. Shamimur Rahman</t>
        </is>
      </c>
      <c r="D1414" s="11" t="inlineStr">
        <is>
          <t>Madaripur GEN-A-1</t>
        </is>
      </c>
      <c r="E1414" s="11" t="inlineStr">
        <is>
          <t>Mr. Md. Abu Jafar Siddik</t>
        </is>
      </c>
      <c r="F1414" s="10" t="n">
        <v>10452</v>
      </c>
      <c r="G1414" s="11" t="inlineStr">
        <is>
          <t>Madaripur-2</t>
        </is>
      </c>
      <c r="H1414" s="10" t="n">
        <v>8774</v>
      </c>
      <c r="I1414" s="11" t="inlineStr">
        <is>
          <t>Mr. Shamanondo shil</t>
        </is>
      </c>
      <c r="J1414" s="10">
        <f>IF(K1414&gt;0, "Completed", "Pending")</f>
        <v/>
      </c>
      <c r="K1414" s="10">
        <f>COUNTIF('Survey Responses'!F:F, F1414)</f>
        <v/>
      </c>
    </row>
    <row r="1415">
      <c r="A1415" s="10" t="n">
        <v>1414</v>
      </c>
      <c r="B1415" s="11" t="inlineStr">
        <is>
          <t>Barishal-B (GEN-A)</t>
        </is>
      </c>
      <c r="C1415" s="11" t="inlineStr">
        <is>
          <t>Mr. Shamimur Rahman</t>
        </is>
      </c>
      <c r="D1415" s="11" t="inlineStr">
        <is>
          <t>Madaripur GEN-A-1</t>
        </is>
      </c>
      <c r="E1415" s="11" t="inlineStr">
        <is>
          <t>Mr. Md. Abu Jafar Siddik</t>
        </is>
      </c>
      <c r="F1415" s="10" t="n">
        <v>10453</v>
      </c>
      <c r="G1415" s="11" t="inlineStr">
        <is>
          <t>Madaripur-3</t>
        </is>
      </c>
      <c r="H1415" s="10" t="n">
        <v>1914</v>
      </c>
      <c r="I1415" s="11" t="inlineStr">
        <is>
          <t>Md. Saiful Islam</t>
        </is>
      </c>
      <c r="J1415" s="10">
        <f>IF(K1415&gt;0, "Completed", "Pending")</f>
        <v/>
      </c>
      <c r="K1415" s="10">
        <f>COUNTIF('Survey Responses'!F:F, F1415)</f>
        <v/>
      </c>
    </row>
    <row r="1416">
      <c r="A1416" s="10" t="n">
        <v>1415</v>
      </c>
      <c r="B1416" s="11" t="inlineStr">
        <is>
          <t>Barishal-B (GEN-A)</t>
        </is>
      </c>
      <c r="C1416" s="11" t="inlineStr">
        <is>
          <t>Mr. Shamimur Rahman</t>
        </is>
      </c>
      <c r="D1416" s="11" t="inlineStr">
        <is>
          <t>Madaripur GEN-A-1</t>
        </is>
      </c>
      <c r="E1416" s="11" t="inlineStr">
        <is>
          <t>Mr. Md. Abu Jafar Siddik</t>
        </is>
      </c>
      <c r="F1416" s="10" t="n">
        <v>13062</v>
      </c>
      <c r="G1416" s="11" t="inlineStr">
        <is>
          <t>Madaripur-4</t>
        </is>
      </c>
      <c r="H1416" s="10" t="n">
        <v>6718</v>
      </c>
      <c r="I1416" s="11" t="inlineStr">
        <is>
          <t>Mr. Md. Habibur Rahman</t>
        </is>
      </c>
      <c r="J1416" s="10">
        <f>IF(K1416&gt;0, "Completed", "Pending")</f>
        <v/>
      </c>
      <c r="K1416" s="10">
        <f>COUNTIF('Survey Responses'!F:F, F1416)</f>
        <v/>
      </c>
    </row>
    <row r="1417">
      <c r="A1417" s="10" t="n">
        <v>1416</v>
      </c>
      <c r="B1417" s="11" t="inlineStr">
        <is>
          <t>Barishal-B (GEN-A)</t>
        </is>
      </c>
      <c r="C1417" s="11" t="inlineStr">
        <is>
          <t>Mr. Shamimur Rahman</t>
        </is>
      </c>
      <c r="D1417" s="11" t="inlineStr">
        <is>
          <t>Madaripur GEN-A-1</t>
        </is>
      </c>
      <c r="E1417" s="11" t="inlineStr">
        <is>
          <t>Mr. Md. Abu Jafar Siddik</t>
        </is>
      </c>
      <c r="F1417" s="10" t="n">
        <v>14611</v>
      </c>
      <c r="G1417" s="11" t="inlineStr">
        <is>
          <t>Madaripur-5</t>
        </is>
      </c>
      <c r="H1417" s="10" t="n">
        <v>7685</v>
      </c>
      <c r="I1417" s="11" t="inlineStr">
        <is>
          <t>Mr. Jibon Malakar</t>
        </is>
      </c>
      <c r="J1417" s="10">
        <f>IF(K1417&gt;0, "Completed", "Pending")</f>
        <v/>
      </c>
      <c r="K1417" s="10">
        <f>COUNTIF('Survey Responses'!F:F, F1417)</f>
        <v/>
      </c>
    </row>
    <row r="1418">
      <c r="A1418" s="10" t="n">
        <v>1417</v>
      </c>
      <c r="B1418" s="11" t="inlineStr">
        <is>
          <t>Barishal-B (GEN-A)</t>
        </is>
      </c>
      <c r="C1418" s="11" t="inlineStr">
        <is>
          <t>Mr. Shamimur Rahman</t>
        </is>
      </c>
      <c r="D1418" s="11" t="inlineStr">
        <is>
          <t>Madaripur GEN-A-1</t>
        </is>
      </c>
      <c r="E1418" s="11" t="inlineStr">
        <is>
          <t>Mr. Md. Abu Jafar Siddik</t>
        </is>
      </c>
      <c r="F1418" s="10" t="n">
        <v>10454</v>
      </c>
      <c r="G1418" s="11" t="inlineStr">
        <is>
          <t>Rajoir-1</t>
        </is>
      </c>
      <c r="H1418" s="10" t="n">
        <v>2752</v>
      </c>
      <c r="I1418" s="11" t="inlineStr">
        <is>
          <t>Liton Chandra Das</t>
        </is>
      </c>
      <c r="J1418" s="10">
        <f>IF(K1418&gt;0, "Completed", "Pending")</f>
        <v/>
      </c>
      <c r="K1418" s="10">
        <f>COUNTIF('Survey Responses'!F:F, F1418)</f>
        <v/>
      </c>
    </row>
    <row r="1419">
      <c r="A1419" s="10" t="n">
        <v>1418</v>
      </c>
      <c r="B1419" s="11" t="inlineStr">
        <is>
          <t>Barishal-B (GEN-A)</t>
        </is>
      </c>
      <c r="C1419" s="11" t="inlineStr">
        <is>
          <t>Mr. Shamimur Rahman</t>
        </is>
      </c>
      <c r="D1419" s="11" t="inlineStr">
        <is>
          <t>Madaripur GEN-A-1</t>
        </is>
      </c>
      <c r="E1419" s="11" t="inlineStr">
        <is>
          <t>Mr. Md. Abu Jafar Siddik</t>
        </is>
      </c>
      <c r="F1419" s="10" t="n">
        <v>10455</v>
      </c>
      <c r="G1419" s="11" t="inlineStr">
        <is>
          <t>Rajoir-2</t>
        </is>
      </c>
      <c r="H1419" s="10" t="n">
        <v>1892</v>
      </c>
      <c r="I1419" s="11" t="inlineStr">
        <is>
          <t>Md. Alamgir Hossain</t>
        </is>
      </c>
      <c r="J1419" s="10">
        <f>IF(K1419&gt;0, "Completed", "Pending")</f>
        <v/>
      </c>
      <c r="K1419" s="10">
        <f>COUNTIF('Survey Responses'!F:F, F1419)</f>
        <v/>
      </c>
    </row>
    <row r="1420">
      <c r="A1420" s="10" t="n">
        <v>1419</v>
      </c>
      <c r="B1420" s="11" t="inlineStr">
        <is>
          <t>Barishal-B (GEN-A)</t>
        </is>
      </c>
      <c r="C1420" s="11" t="inlineStr">
        <is>
          <t>Mr. Shamimur Rahman</t>
        </is>
      </c>
      <c r="D1420" s="11" t="inlineStr">
        <is>
          <t>Madaripur GEN-A-1</t>
        </is>
      </c>
      <c r="E1420" s="11" t="inlineStr">
        <is>
          <t>Mr. Md. Abu Jafar Siddik</t>
        </is>
      </c>
      <c r="F1420" s="10" t="n">
        <v>13103</v>
      </c>
      <c r="G1420" s="11" t="inlineStr">
        <is>
          <t>Rajoir-3</t>
        </is>
      </c>
      <c r="H1420" s="10" t="n">
        <v>5683</v>
      </c>
      <c r="I1420" s="11" t="inlineStr">
        <is>
          <t>Mr. Abhijit Ghosh</t>
        </is>
      </c>
      <c r="J1420" s="10">
        <f>IF(K1420&gt;0, "Completed", "Pending")</f>
        <v/>
      </c>
      <c r="K1420" s="10">
        <f>COUNTIF('Survey Responses'!F:F, F1420)</f>
        <v/>
      </c>
    </row>
    <row r="1421">
      <c r="A1421" s="10" t="n">
        <v>1420</v>
      </c>
      <c r="B1421" s="11" t="inlineStr">
        <is>
          <t>Barishal-B (GEN-A)</t>
        </is>
      </c>
      <c r="C1421" s="11" t="inlineStr">
        <is>
          <t>Mr. Shamimur Rahman</t>
        </is>
      </c>
      <c r="D1421" s="11" t="inlineStr">
        <is>
          <t>Shariatpur GEN-A-1</t>
        </is>
      </c>
      <c r="E1421" s="11" t="inlineStr">
        <is>
          <t>Mr. Md. Shahadat Hossain-579</t>
        </is>
      </c>
      <c r="F1421" s="10" t="n">
        <v>10459</v>
      </c>
      <c r="G1421" s="11" t="inlineStr">
        <is>
          <t>Bhedorgonj</t>
        </is>
      </c>
      <c r="H1421" s="10" t="n">
        <v>1504</v>
      </c>
      <c r="I1421" s="11" t="inlineStr">
        <is>
          <t>Md. Arif Hossain</t>
        </is>
      </c>
      <c r="J1421" s="10">
        <f>IF(K1421&gt;0, "Completed", "Pending")</f>
        <v/>
      </c>
      <c r="K1421" s="10">
        <f>COUNTIF('Survey Responses'!F:F, F1421)</f>
        <v/>
      </c>
    </row>
    <row r="1422">
      <c r="A1422" s="10" t="n">
        <v>1421</v>
      </c>
      <c r="B1422" s="11" t="inlineStr">
        <is>
          <t>Barishal-B (GEN-A)</t>
        </is>
      </c>
      <c r="C1422" s="11" t="inlineStr">
        <is>
          <t>Mr. Shamimur Rahman</t>
        </is>
      </c>
      <c r="D1422" s="11" t="inlineStr">
        <is>
          <t>Shariatpur GEN-A-1</t>
        </is>
      </c>
      <c r="E1422" s="11" t="inlineStr">
        <is>
          <t>Mr. Md. Shahadat Hossain-579</t>
        </is>
      </c>
      <c r="F1422" s="10" t="n">
        <v>13213</v>
      </c>
      <c r="G1422" s="11" t="inlineStr">
        <is>
          <t>Bhedorgonj-2</t>
        </is>
      </c>
      <c r="H1422" s="10" t="n">
        <v>5741</v>
      </c>
      <c r="I1422" s="11" t="inlineStr">
        <is>
          <t>Mr. Md. Mahmudul Hasan</t>
        </is>
      </c>
      <c r="J1422" s="10">
        <f>IF(K1422&gt;0, "Completed", "Pending")</f>
        <v/>
      </c>
      <c r="K1422" s="10">
        <f>COUNTIF('Survey Responses'!F:F, F1422)</f>
        <v/>
      </c>
    </row>
    <row r="1423">
      <c r="A1423" s="10" t="n">
        <v>1422</v>
      </c>
      <c r="B1423" s="11" t="inlineStr">
        <is>
          <t>Barishal-B (GEN-A)</t>
        </is>
      </c>
      <c r="C1423" s="11" t="inlineStr">
        <is>
          <t>Mr. Shamimur Rahman</t>
        </is>
      </c>
      <c r="D1423" s="11" t="inlineStr">
        <is>
          <t>Shariatpur GEN-A-1</t>
        </is>
      </c>
      <c r="E1423" s="11" t="inlineStr">
        <is>
          <t>Mr. Md. Shahadat Hossain-579</t>
        </is>
      </c>
      <c r="F1423" s="10" t="n">
        <v>10461</v>
      </c>
      <c r="G1423" s="11" t="inlineStr">
        <is>
          <t>Goshairhat-1</t>
        </is>
      </c>
      <c r="H1423" s="10" t="n">
        <v>2819</v>
      </c>
      <c r="I1423" s="11" t="inlineStr">
        <is>
          <t>Porimol Chandra</t>
        </is>
      </c>
      <c r="J1423" s="10">
        <f>IF(K1423&gt;0, "Completed", "Pending")</f>
        <v/>
      </c>
      <c r="K1423" s="10">
        <f>COUNTIF('Survey Responses'!F:F, F1423)</f>
        <v/>
      </c>
    </row>
    <row r="1424">
      <c r="A1424" s="10" t="n">
        <v>1423</v>
      </c>
      <c r="B1424" s="11" t="inlineStr">
        <is>
          <t>Barishal-B (GEN-A)</t>
        </is>
      </c>
      <c r="C1424" s="11" t="inlineStr">
        <is>
          <t>Mr. Shamimur Rahman</t>
        </is>
      </c>
      <c r="D1424" s="11" t="inlineStr">
        <is>
          <t>Shariatpur GEN-A-1</t>
        </is>
      </c>
      <c r="E1424" s="11" t="inlineStr">
        <is>
          <t>Mr. Md. Shahadat Hossain-579</t>
        </is>
      </c>
      <c r="F1424" s="10" t="n">
        <v>14132</v>
      </c>
      <c r="G1424" s="11" t="inlineStr">
        <is>
          <t>Goshairhat-2</t>
        </is>
      </c>
      <c r="H1424" s="10" t="n">
        <v>7432</v>
      </c>
      <c r="I1424" s="11" t="inlineStr">
        <is>
          <t>Mr. Md. Raisul Islam</t>
        </is>
      </c>
      <c r="J1424" s="10">
        <f>IF(K1424&gt;0, "Completed", "Pending")</f>
        <v/>
      </c>
      <c r="K1424" s="10">
        <f>COUNTIF('Survey Responses'!F:F, F1424)</f>
        <v/>
      </c>
    </row>
    <row r="1425">
      <c r="A1425" s="10" t="n">
        <v>1424</v>
      </c>
      <c r="B1425" s="11" t="inlineStr">
        <is>
          <t>Barishal-B (GEN-A)</t>
        </is>
      </c>
      <c r="C1425" s="11" t="inlineStr">
        <is>
          <t>Mr. Shamimur Rahman</t>
        </is>
      </c>
      <c r="D1425" s="11" t="inlineStr">
        <is>
          <t>Shariatpur GEN-A-1</t>
        </is>
      </c>
      <c r="E1425" s="11" t="inlineStr">
        <is>
          <t>Mr. Md. Shahadat Hossain-579</t>
        </is>
      </c>
      <c r="F1425" s="10" t="n">
        <v>10460</v>
      </c>
      <c r="G1425" s="11" t="inlineStr">
        <is>
          <t>Shariatpur-1</t>
        </is>
      </c>
      <c r="H1425" s="10" t="n">
        <v>630</v>
      </c>
      <c r="I1425" s="11" t="inlineStr">
        <is>
          <t>Liton Halder</t>
        </is>
      </c>
      <c r="J1425" s="10">
        <f>IF(K1425&gt;0, "Completed", "Pending")</f>
        <v/>
      </c>
      <c r="K1425" s="10">
        <f>COUNTIF('Survey Responses'!F:F, F1425)</f>
        <v/>
      </c>
    </row>
    <row r="1426">
      <c r="A1426" s="10" t="n">
        <v>1425</v>
      </c>
      <c r="B1426" s="11" t="inlineStr">
        <is>
          <t>Barishal-B (GEN-A)</t>
        </is>
      </c>
      <c r="C1426" s="11" t="inlineStr">
        <is>
          <t>Mr. Shamimur Rahman</t>
        </is>
      </c>
      <c r="D1426" s="11" t="inlineStr">
        <is>
          <t>Shariatpur GEN-A-1</t>
        </is>
      </c>
      <c r="E1426" s="11" t="inlineStr">
        <is>
          <t>Mr. Md. Shahadat Hossain-579</t>
        </is>
      </c>
      <c r="F1426" s="10" t="n">
        <v>10458</v>
      </c>
      <c r="G1426" s="11" t="inlineStr">
        <is>
          <t>Shariatpur-2</t>
        </is>
      </c>
      <c r="H1426" s="10" t="n">
        <v>1427</v>
      </c>
      <c r="I1426" s="11" t="inlineStr">
        <is>
          <t>Md. Khairul Islam</t>
        </is>
      </c>
      <c r="J1426" s="10">
        <f>IF(K1426&gt;0, "Completed", "Pending")</f>
        <v/>
      </c>
      <c r="K1426" s="10">
        <f>COUNTIF('Survey Responses'!F:F, F1426)</f>
        <v/>
      </c>
    </row>
    <row r="1427">
      <c r="A1427" s="10" t="n">
        <v>1426</v>
      </c>
      <c r="B1427" s="11" t="inlineStr">
        <is>
          <t>Barishal-B (GEN-A)</t>
        </is>
      </c>
      <c r="C1427" s="11" t="inlineStr">
        <is>
          <t>Mr. Shamimur Rahman</t>
        </is>
      </c>
      <c r="D1427" s="11" t="inlineStr">
        <is>
          <t>Shariatpur GEN-A-1</t>
        </is>
      </c>
      <c r="E1427" s="11" t="inlineStr">
        <is>
          <t>Mr. Md. Shahadat Hossain-579</t>
        </is>
      </c>
      <c r="F1427" s="10" t="n">
        <v>12539</v>
      </c>
      <c r="G1427" s="11" t="inlineStr">
        <is>
          <t>Shariatpur-3</t>
        </is>
      </c>
      <c r="H1427" s="10" t="n">
        <v>5016</v>
      </c>
      <c r="I1427" s="11" t="inlineStr">
        <is>
          <t>Mr. Uzzal Hossain</t>
        </is>
      </c>
      <c r="J1427" s="10">
        <f>IF(K1427&gt;0, "Completed", "Pending")</f>
        <v/>
      </c>
      <c r="K1427" s="10">
        <f>COUNTIF('Survey Responses'!F:F, F1427)</f>
        <v/>
      </c>
    </row>
    <row r="1428">
      <c r="A1428" s="10" t="n">
        <v>1427</v>
      </c>
      <c r="B1428" s="11" t="inlineStr">
        <is>
          <t>Barishal-B (GEN-A)</t>
        </is>
      </c>
      <c r="C1428" s="11" t="inlineStr">
        <is>
          <t>Mr. Shamimur Rahman</t>
        </is>
      </c>
      <c r="D1428" s="11" t="inlineStr">
        <is>
          <t>Shariatpur GEN-A-1</t>
        </is>
      </c>
      <c r="E1428" s="11" t="inlineStr">
        <is>
          <t>Mr. Md. Shahadat Hossain-579</t>
        </is>
      </c>
      <c r="F1428" s="10" t="n">
        <v>14567</v>
      </c>
      <c r="G1428" s="11" t="inlineStr">
        <is>
          <t>Shariatpur-4</t>
        </is>
      </c>
      <c r="H1428" s="10" t="n">
        <v>7638</v>
      </c>
      <c r="I1428" s="11" t="inlineStr">
        <is>
          <t>Mr. Md. Ataur Rahaman</t>
        </is>
      </c>
      <c r="J1428" s="10">
        <f>IF(K1428&gt;0, "Completed", "Pending")</f>
        <v/>
      </c>
      <c r="K1428" s="10">
        <f>COUNTIF('Survey Responses'!F:F, F1428)</f>
        <v/>
      </c>
    </row>
    <row r="1429">
      <c r="A1429" s="10" t="n">
        <v>1428</v>
      </c>
      <c r="B1429" s="11" t="inlineStr">
        <is>
          <t>Faridpur (GEN-A)</t>
        </is>
      </c>
      <c r="C1429" s="11" t="inlineStr">
        <is>
          <t>Mr. AKM Mizanur Rahman</t>
        </is>
      </c>
      <c r="D1429" s="11" t="inlineStr">
        <is>
          <t>Bhanga GEN-A-1</t>
        </is>
      </c>
      <c r="E1429" s="11" t="inlineStr">
        <is>
          <t>Mr. Md. Zahid Hossain Khan</t>
        </is>
      </c>
      <c r="F1429" s="10" t="n">
        <v>12401</v>
      </c>
      <c r="G1429" s="11" t="inlineStr">
        <is>
          <t>Alfadanga-1</t>
        </is>
      </c>
      <c r="H1429" s="10" t="n">
        <v>8588</v>
      </c>
      <c r="I1429" s="11" t="inlineStr">
        <is>
          <t>Mr. Md. Omar Faruq</t>
        </is>
      </c>
      <c r="J1429" s="10">
        <f>IF(K1429&gt;0, "Completed", "Pending")</f>
        <v/>
      </c>
      <c r="K1429" s="10">
        <f>COUNTIF('Survey Responses'!F:F, F1429)</f>
        <v/>
      </c>
    </row>
    <row r="1430">
      <c r="A1430" s="10" t="n">
        <v>1429</v>
      </c>
      <c r="B1430" s="11" t="inlineStr">
        <is>
          <t>Faridpur (GEN-A)</t>
        </is>
      </c>
      <c r="C1430" s="11" t="inlineStr">
        <is>
          <t>Mr. AKM Mizanur Rahman</t>
        </is>
      </c>
      <c r="D1430" s="11" t="inlineStr">
        <is>
          <t>Bhanga GEN-A-1</t>
        </is>
      </c>
      <c r="E1430" s="11" t="inlineStr">
        <is>
          <t>Mr. Md. Zahid Hossain Khan</t>
        </is>
      </c>
      <c r="F1430" s="10" t="n">
        <v>10444</v>
      </c>
      <c r="G1430" s="11" t="inlineStr">
        <is>
          <t>Bhanga-1</t>
        </is>
      </c>
      <c r="H1430" s="10" t="n">
        <v>6280</v>
      </c>
      <c r="I1430" s="11" t="inlineStr">
        <is>
          <t>Mr. Md. Tariqul Islam</t>
        </is>
      </c>
      <c r="J1430" s="10">
        <f>IF(K1430&gt;0, "Completed", "Pending")</f>
        <v/>
      </c>
      <c r="K1430" s="10">
        <f>COUNTIF('Survey Responses'!F:F, F1430)</f>
        <v/>
      </c>
    </row>
    <row r="1431">
      <c r="A1431" s="10" t="n">
        <v>1430</v>
      </c>
      <c r="B1431" s="11" t="inlineStr">
        <is>
          <t>Faridpur (GEN-A)</t>
        </is>
      </c>
      <c r="C1431" s="11" t="inlineStr">
        <is>
          <t>Mr. AKM Mizanur Rahman</t>
        </is>
      </c>
      <c r="D1431" s="11" t="inlineStr">
        <is>
          <t>Bhanga GEN-A-1</t>
        </is>
      </c>
      <c r="E1431" s="11" t="inlineStr">
        <is>
          <t>Mr. Md. Zahid Hossain Khan</t>
        </is>
      </c>
      <c r="F1431" s="10" t="n">
        <v>10445</v>
      </c>
      <c r="G1431" s="11" t="inlineStr">
        <is>
          <t>Bhanga-2</t>
        </is>
      </c>
      <c r="H1431" s="10" t="n">
        <v>3747</v>
      </c>
      <c r="I1431" s="11" t="inlineStr">
        <is>
          <t>Mr. Md. Minhaj Perveg</t>
        </is>
      </c>
      <c r="J1431" s="10">
        <f>IF(K1431&gt;0, "Completed", "Pending")</f>
        <v/>
      </c>
      <c r="K1431" s="10">
        <f>COUNTIF('Survey Responses'!F:F, F1431)</f>
        <v/>
      </c>
    </row>
    <row r="1432">
      <c r="A1432" s="10" t="n">
        <v>1431</v>
      </c>
      <c r="B1432" s="11" t="inlineStr">
        <is>
          <t>Faridpur (GEN-A)</t>
        </is>
      </c>
      <c r="C1432" s="11" t="inlineStr">
        <is>
          <t>Mr. AKM Mizanur Rahman</t>
        </is>
      </c>
      <c r="D1432" s="11" t="inlineStr">
        <is>
          <t>Bhanga GEN-A-1</t>
        </is>
      </c>
      <c r="E1432" s="11" t="inlineStr">
        <is>
          <t>Mr. Md. Zahid Hossain Khan</t>
        </is>
      </c>
      <c r="F1432" s="10" t="n">
        <v>12978</v>
      </c>
      <c r="G1432" s="11" t="inlineStr">
        <is>
          <t>Bhanga-3</t>
        </is>
      </c>
      <c r="H1432" s="10" t="n">
        <v>5299</v>
      </c>
      <c r="I1432" s="11" t="inlineStr">
        <is>
          <t>Mr. Dipak Kumar Roy</t>
        </is>
      </c>
      <c r="J1432" s="10">
        <f>IF(K1432&gt;0, "Completed", "Pending")</f>
        <v/>
      </c>
      <c r="K1432" s="10">
        <f>COUNTIF('Survey Responses'!F:F, F1432)</f>
        <v/>
      </c>
    </row>
    <row r="1433">
      <c r="A1433" s="10" t="n">
        <v>1432</v>
      </c>
      <c r="B1433" s="11" t="inlineStr">
        <is>
          <t>Faridpur (GEN-A)</t>
        </is>
      </c>
      <c r="C1433" s="11" t="inlineStr">
        <is>
          <t>Mr. AKM Mizanur Rahman</t>
        </is>
      </c>
      <c r="D1433" s="11" t="inlineStr">
        <is>
          <t>Bhanga GEN-A-1</t>
        </is>
      </c>
      <c r="E1433" s="11" t="inlineStr">
        <is>
          <t>Mr. Md. Zahid Hossain Khan</t>
        </is>
      </c>
      <c r="F1433" s="10" t="n">
        <v>10449</v>
      </c>
      <c r="G1433" s="11" t="inlineStr">
        <is>
          <t>Nogorkanda</t>
        </is>
      </c>
      <c r="H1433" s="10" t="n">
        <v>1166</v>
      </c>
      <c r="I1433" s="11" t="inlineStr">
        <is>
          <t>Md. Ibrahim Dhali</t>
        </is>
      </c>
      <c r="J1433" s="10">
        <f>IF(K1433&gt;0, "Completed", "Pending")</f>
        <v/>
      </c>
      <c r="K1433" s="10">
        <f>COUNTIF('Survey Responses'!F:F, F1433)</f>
        <v/>
      </c>
    </row>
    <row r="1434">
      <c r="A1434" s="10" t="n">
        <v>1433</v>
      </c>
      <c r="B1434" s="11" t="inlineStr">
        <is>
          <t>Faridpur (GEN-A)</t>
        </is>
      </c>
      <c r="C1434" s="11" t="inlineStr">
        <is>
          <t>Mr. AKM Mizanur Rahman</t>
        </is>
      </c>
      <c r="D1434" s="11" t="inlineStr">
        <is>
          <t>Bhanga GEN-A-1</t>
        </is>
      </c>
      <c r="E1434" s="11" t="inlineStr">
        <is>
          <t>Mr. Md. Zahid Hossain Khan</t>
        </is>
      </c>
      <c r="F1434" s="10" t="n">
        <v>10433</v>
      </c>
      <c r="G1434" s="11" t="inlineStr">
        <is>
          <t>Sadarpur-1</t>
        </is>
      </c>
      <c r="H1434" s="10" t="n">
        <v>3401</v>
      </c>
      <c r="I1434" s="11" t="inlineStr">
        <is>
          <t>Mr. Md. Saddam Hossain</t>
        </is>
      </c>
      <c r="J1434" s="10">
        <f>IF(K1434&gt;0, "Completed", "Pending")</f>
        <v/>
      </c>
      <c r="K1434" s="10">
        <f>COUNTIF('Survey Responses'!F:F, F1434)</f>
        <v/>
      </c>
    </row>
    <row r="1435">
      <c r="A1435" s="10" t="n">
        <v>1434</v>
      </c>
      <c r="B1435" s="11" t="inlineStr">
        <is>
          <t>Faridpur (GEN-A)</t>
        </is>
      </c>
      <c r="C1435" s="11" t="inlineStr">
        <is>
          <t>Mr. AKM Mizanur Rahman</t>
        </is>
      </c>
      <c r="D1435" s="11" t="inlineStr">
        <is>
          <t>Bhanga GEN-A-1</t>
        </is>
      </c>
      <c r="E1435" s="11" t="inlineStr">
        <is>
          <t>Mr. Md. Zahid Hossain Khan</t>
        </is>
      </c>
      <c r="F1435" s="10" t="n">
        <v>10434</v>
      </c>
      <c r="G1435" s="11" t="inlineStr">
        <is>
          <t>Sadarpur-2</t>
        </is>
      </c>
      <c r="H1435" s="10" t="n">
        <v>3248</v>
      </c>
      <c r="I1435" s="11" t="inlineStr">
        <is>
          <t>M.M Zillur Rahman Shihab</t>
        </is>
      </c>
      <c r="J1435" s="10">
        <f>IF(K1435&gt;0, "Completed", "Pending")</f>
        <v/>
      </c>
      <c r="K1435" s="10">
        <f>COUNTIF('Survey Responses'!F:F, F1435)</f>
        <v/>
      </c>
    </row>
    <row r="1436">
      <c r="A1436" s="10" t="n">
        <v>1435</v>
      </c>
      <c r="B1436" s="11" t="inlineStr">
        <is>
          <t>Faridpur (GEN-A)</t>
        </is>
      </c>
      <c r="C1436" s="11" t="inlineStr">
        <is>
          <t>Mr. AKM Mizanur Rahman</t>
        </is>
      </c>
      <c r="D1436" s="11" t="inlineStr">
        <is>
          <t>Faridpur GEN-A-1</t>
        </is>
      </c>
      <c r="E1436" s="11" t="inlineStr">
        <is>
          <t>Mr. Sumon Kumar Paul</t>
        </is>
      </c>
      <c r="F1436" s="10" t="n">
        <v>10431</v>
      </c>
      <c r="G1436" s="11" t="inlineStr">
        <is>
          <t>Boalmari-1</t>
        </is>
      </c>
      <c r="H1436" s="10" t="n">
        <v>2173</v>
      </c>
      <c r="I1436" s="11" t="inlineStr">
        <is>
          <t>Md. Arifuzzaman</t>
        </is>
      </c>
      <c r="J1436" s="10">
        <f>IF(K1436&gt;0, "Completed", "Pending")</f>
        <v/>
      </c>
      <c r="K1436" s="10">
        <f>COUNTIF('Survey Responses'!F:F, F1436)</f>
        <v/>
      </c>
    </row>
    <row r="1437">
      <c r="A1437" s="10" t="n">
        <v>1436</v>
      </c>
      <c r="B1437" s="11" t="inlineStr">
        <is>
          <t>Faridpur (GEN-A)</t>
        </is>
      </c>
      <c r="C1437" s="11" t="inlineStr">
        <is>
          <t>Mr. AKM Mizanur Rahman</t>
        </is>
      </c>
      <c r="D1437" s="11" t="inlineStr">
        <is>
          <t>Faridpur GEN-A-1</t>
        </is>
      </c>
      <c r="E1437" s="11" t="inlineStr">
        <is>
          <t>Mr. Sumon Kumar Paul</t>
        </is>
      </c>
      <c r="F1437" s="10" t="n">
        <v>10432</v>
      </c>
      <c r="G1437" s="11" t="inlineStr">
        <is>
          <t>Boalmari-2</t>
        </is>
      </c>
      <c r="H1437" s="10" t="n">
        <v>6602</v>
      </c>
      <c r="I1437" s="11" t="inlineStr">
        <is>
          <t>Mr. Sumon Ahmed</t>
        </is>
      </c>
      <c r="J1437" s="10">
        <f>IF(K1437&gt;0, "Completed", "Pending")</f>
        <v/>
      </c>
      <c r="K1437" s="10">
        <f>COUNTIF('Survey Responses'!F:F, F1437)</f>
        <v/>
      </c>
    </row>
    <row r="1438">
      <c r="A1438" s="10" t="n">
        <v>1437</v>
      </c>
      <c r="B1438" s="11" t="inlineStr">
        <is>
          <t>Faridpur (GEN-A)</t>
        </is>
      </c>
      <c r="C1438" s="11" t="inlineStr">
        <is>
          <t>Mr. AKM Mizanur Rahman</t>
        </is>
      </c>
      <c r="D1438" s="11" t="inlineStr">
        <is>
          <t>Faridpur GEN-A-1</t>
        </is>
      </c>
      <c r="E1438" s="11" t="inlineStr">
        <is>
          <t>Mr. Sumon Kumar Paul</t>
        </is>
      </c>
      <c r="F1438" s="10" t="n">
        <v>10428</v>
      </c>
      <c r="G1438" s="11" t="inlineStr">
        <is>
          <t>Faridpur-1</t>
        </is>
      </c>
      <c r="H1438" s="10" t="n">
        <v>1305</v>
      </c>
      <c r="I1438" s="11" t="inlineStr">
        <is>
          <t>Md. Aminul Hoque</t>
        </is>
      </c>
      <c r="J1438" s="10">
        <f>IF(K1438&gt;0, "Completed", "Pending")</f>
        <v/>
      </c>
      <c r="K1438" s="10">
        <f>COUNTIF('Survey Responses'!F:F, F1438)</f>
        <v/>
      </c>
    </row>
    <row r="1439">
      <c r="A1439" s="10" t="n">
        <v>1438</v>
      </c>
      <c r="B1439" s="11" t="inlineStr">
        <is>
          <t>Faridpur (GEN-A)</t>
        </is>
      </c>
      <c r="C1439" s="11" t="inlineStr">
        <is>
          <t>Mr. AKM Mizanur Rahman</t>
        </is>
      </c>
      <c r="D1439" s="11" t="inlineStr">
        <is>
          <t>Faridpur GEN-A-1</t>
        </is>
      </c>
      <c r="E1439" s="11" t="inlineStr">
        <is>
          <t>Mr. Sumon Kumar Paul</t>
        </is>
      </c>
      <c r="F1439" s="10" t="n">
        <v>10430</v>
      </c>
      <c r="G1439" s="11" t="inlineStr">
        <is>
          <t>Faridpur-3</t>
        </is>
      </c>
      <c r="H1439" s="10" t="n">
        <v>1826</v>
      </c>
      <c r="I1439" s="11" t="inlineStr">
        <is>
          <t>Md. Aminul Islam</t>
        </is>
      </c>
      <c r="J1439" s="10">
        <f>IF(K1439&gt;0, "Completed", "Pending")</f>
        <v/>
      </c>
      <c r="K1439" s="10">
        <f>COUNTIF('Survey Responses'!F:F, F1439)</f>
        <v/>
      </c>
    </row>
    <row r="1440">
      <c r="A1440" s="10" t="n">
        <v>1439</v>
      </c>
      <c r="B1440" s="11" t="inlineStr">
        <is>
          <t>Faridpur (GEN-A)</t>
        </is>
      </c>
      <c r="C1440" s="11" t="inlineStr">
        <is>
          <t>Mr. AKM Mizanur Rahman</t>
        </is>
      </c>
      <c r="D1440" s="11" t="inlineStr">
        <is>
          <t>Faridpur GEN-A-1</t>
        </is>
      </c>
      <c r="E1440" s="11" t="inlineStr">
        <is>
          <t>Mr. Sumon Kumar Paul</t>
        </is>
      </c>
      <c r="F1440" s="10" t="n">
        <v>10429</v>
      </c>
      <c r="G1440" s="11" t="inlineStr">
        <is>
          <t>Faridpur-6</t>
        </is>
      </c>
      <c r="H1440" s="10" t="n">
        <v>6143</v>
      </c>
      <c r="I1440" s="11" t="inlineStr">
        <is>
          <t>Mr. Atiqur Rahman</t>
        </is>
      </c>
      <c r="J1440" s="10">
        <f>IF(K1440&gt;0, "Completed", "Pending")</f>
        <v/>
      </c>
      <c r="K1440" s="10">
        <f>COUNTIF('Survey Responses'!F:F, F1440)</f>
        <v/>
      </c>
    </row>
    <row r="1441">
      <c r="A1441" s="10" t="n">
        <v>1440</v>
      </c>
      <c r="B1441" s="11" t="inlineStr">
        <is>
          <t>Faridpur (GEN-A)</t>
        </is>
      </c>
      <c r="C1441" s="11" t="inlineStr">
        <is>
          <t>Mr. AKM Mizanur Rahman</t>
        </is>
      </c>
      <c r="D1441" s="11" t="inlineStr">
        <is>
          <t>Faridpur GEN-A-1</t>
        </is>
      </c>
      <c r="E1441" s="11" t="inlineStr">
        <is>
          <t>Mr. Sumon Kumar Paul</t>
        </is>
      </c>
      <c r="F1441" s="10" t="n">
        <v>11816</v>
      </c>
      <c r="G1441" s="11" t="inlineStr">
        <is>
          <t>Faridpur-7</t>
        </is>
      </c>
      <c r="H1441" s="10" t="n">
        <v>1817</v>
      </c>
      <c r="I1441" s="11" t="inlineStr">
        <is>
          <t>Md. Ashraful Islam</t>
        </is>
      </c>
      <c r="J1441" s="10">
        <f>IF(K1441&gt;0, "Completed", "Pending")</f>
        <v/>
      </c>
      <c r="K1441" s="10">
        <f>COUNTIF('Survey Responses'!F:F, F1441)</f>
        <v/>
      </c>
    </row>
    <row r="1442">
      <c r="A1442" s="10" t="n">
        <v>1441</v>
      </c>
      <c r="B1442" s="11" t="inlineStr">
        <is>
          <t>Faridpur (GEN-A)</t>
        </is>
      </c>
      <c r="C1442" s="11" t="inlineStr">
        <is>
          <t>Mr. AKM Mizanur Rahman</t>
        </is>
      </c>
      <c r="D1442" s="11" t="inlineStr">
        <is>
          <t>Faridpur GEN-A-1</t>
        </is>
      </c>
      <c r="E1442" s="11" t="inlineStr">
        <is>
          <t>Mr. Sumon Kumar Paul</t>
        </is>
      </c>
      <c r="F1442" s="10" t="n">
        <v>14600</v>
      </c>
      <c r="G1442" s="11" t="inlineStr">
        <is>
          <t>Faridpur-9</t>
        </is>
      </c>
      <c r="H1442" s="10" t="n">
        <v>8842</v>
      </c>
      <c r="I1442" s="11" t="inlineStr">
        <is>
          <t>Mr. Durjoy Kumar Ghosh</t>
        </is>
      </c>
      <c r="J1442" s="10">
        <f>IF(K1442&gt;0, "Completed", "Pending")</f>
        <v/>
      </c>
      <c r="K1442" s="10">
        <f>COUNTIF('Survey Responses'!F:F, F1442)</f>
        <v/>
      </c>
    </row>
    <row r="1443">
      <c r="A1443" s="10" t="n">
        <v>1442</v>
      </c>
      <c r="B1443" s="11" t="inlineStr">
        <is>
          <t>Faridpur (GEN-A)</t>
        </is>
      </c>
      <c r="C1443" s="11" t="inlineStr">
        <is>
          <t>Mr. AKM Mizanur Rahman</t>
        </is>
      </c>
      <c r="D1443" s="11" t="inlineStr">
        <is>
          <t>Faridpur GEN-A-1</t>
        </is>
      </c>
      <c r="E1443" s="11" t="inlineStr">
        <is>
          <t>Mr. Sumon Kumar Paul</t>
        </is>
      </c>
      <c r="F1443" s="10" t="n">
        <v>13642</v>
      </c>
      <c r="G1443" s="11" t="inlineStr">
        <is>
          <t>Saltha</t>
        </is>
      </c>
      <c r="H1443" s="10" t="n">
        <v>7273</v>
      </c>
      <c r="I1443" s="11" t="inlineStr">
        <is>
          <t>Mr. Md. Abdul Baki</t>
        </is>
      </c>
      <c r="J1443" s="10">
        <f>IF(K1443&gt;0, "Completed", "Pending")</f>
        <v/>
      </c>
      <c r="K1443" s="10">
        <f>COUNTIF('Survey Responses'!F:F, F1443)</f>
        <v/>
      </c>
    </row>
    <row r="1444">
      <c r="A1444" s="10" t="n">
        <v>1443</v>
      </c>
      <c r="B1444" s="11" t="inlineStr">
        <is>
          <t>Faridpur (GEN-A)</t>
        </is>
      </c>
      <c r="C1444" s="11" t="inlineStr">
        <is>
          <t>Mr. AKM Mizanur Rahman</t>
        </is>
      </c>
      <c r="D1444" s="11" t="inlineStr">
        <is>
          <t>Faridpur GEN-A-2</t>
        </is>
      </c>
      <c r="E1444" s="11" t="inlineStr">
        <is>
          <t>Mr. Md. Mehedi Hasan</t>
        </is>
      </c>
      <c r="F1444" s="10" t="n">
        <v>14860</v>
      </c>
      <c r="G1444" s="11" t="inlineStr">
        <is>
          <t>Faridpur-10</t>
        </is>
      </c>
      <c r="H1444" s="10" t="n">
        <v>8977</v>
      </c>
      <c r="I1444" s="11" t="inlineStr">
        <is>
          <t>Mr. Alok Kumar Mondal</t>
        </is>
      </c>
      <c r="J1444" s="10">
        <f>IF(K1444&gt;0, "Completed", "Pending")</f>
        <v/>
      </c>
      <c r="K1444" s="10">
        <f>COUNTIF('Survey Responses'!F:F, F1444)</f>
        <v/>
      </c>
    </row>
    <row r="1445">
      <c r="A1445" s="10" t="n">
        <v>1444</v>
      </c>
      <c r="B1445" s="11" t="inlineStr">
        <is>
          <t>Faridpur (GEN-A)</t>
        </is>
      </c>
      <c r="C1445" s="11" t="inlineStr">
        <is>
          <t>Mr. AKM Mizanur Rahman</t>
        </is>
      </c>
      <c r="D1445" s="11" t="inlineStr">
        <is>
          <t>Faridpur GEN-A-2</t>
        </is>
      </c>
      <c r="E1445" s="11" t="inlineStr">
        <is>
          <t>Mr. Md. Mehedi Hasan</t>
        </is>
      </c>
      <c r="F1445" s="10" t="n">
        <v>10437</v>
      </c>
      <c r="G1445" s="11" t="inlineStr">
        <is>
          <t>Faridpur-2</t>
        </is>
      </c>
      <c r="H1445" s="10" t="n">
        <v>8299</v>
      </c>
      <c r="I1445" s="11" t="inlineStr">
        <is>
          <t>Mr. Md. Chanchal Ali</t>
        </is>
      </c>
      <c r="J1445" s="10">
        <f>IF(K1445&gt;0, "Completed", "Pending")</f>
        <v/>
      </c>
      <c r="K1445" s="10">
        <f>COUNTIF('Survey Responses'!F:F, F1445)</f>
        <v/>
      </c>
    </row>
    <row r="1446">
      <c r="A1446" s="10" t="n">
        <v>1445</v>
      </c>
      <c r="B1446" s="11" t="inlineStr">
        <is>
          <t>Faridpur (GEN-A)</t>
        </is>
      </c>
      <c r="C1446" s="11" t="inlineStr">
        <is>
          <t>Mr. AKM Mizanur Rahman</t>
        </is>
      </c>
      <c r="D1446" s="11" t="inlineStr">
        <is>
          <t>Faridpur GEN-A-2</t>
        </is>
      </c>
      <c r="E1446" s="11" t="inlineStr">
        <is>
          <t>Mr. Md. Mehedi Hasan</t>
        </is>
      </c>
      <c r="F1446" s="10" t="n">
        <v>10435</v>
      </c>
      <c r="G1446" s="11" t="inlineStr">
        <is>
          <t>Faridpur-4</t>
        </is>
      </c>
      <c r="H1446" s="10" t="n">
        <v>2609</v>
      </c>
      <c r="I1446" s="11" t="inlineStr">
        <is>
          <t>Md. Abul Basar</t>
        </is>
      </c>
      <c r="J1446" s="10">
        <f>IF(K1446&gt;0, "Completed", "Pending")</f>
        <v/>
      </c>
      <c r="K1446" s="10">
        <f>COUNTIF('Survey Responses'!F:F, F1446)</f>
        <v/>
      </c>
    </row>
    <row r="1447">
      <c r="A1447" s="10" t="n">
        <v>1446</v>
      </c>
      <c r="B1447" s="11" t="inlineStr">
        <is>
          <t>Faridpur (GEN-A)</t>
        </is>
      </c>
      <c r="C1447" s="11" t="inlineStr">
        <is>
          <t>Mr. AKM Mizanur Rahman</t>
        </is>
      </c>
      <c r="D1447" s="11" t="inlineStr">
        <is>
          <t>Faridpur GEN-A-2</t>
        </is>
      </c>
      <c r="E1447" s="11" t="inlineStr">
        <is>
          <t>Mr. Md. Mehedi Hasan</t>
        </is>
      </c>
      <c r="F1447" s="10" t="n">
        <v>10436</v>
      </c>
      <c r="G1447" s="11" t="inlineStr">
        <is>
          <t>Faridpur-5</t>
        </is>
      </c>
      <c r="H1447" s="10" t="n">
        <v>9059</v>
      </c>
      <c r="I1447" s="11" t="inlineStr">
        <is>
          <t>Mr. Md. Rafiqul Islam</t>
        </is>
      </c>
      <c r="J1447" s="10">
        <f>IF(K1447&gt;0, "Completed", "Pending")</f>
        <v/>
      </c>
      <c r="K1447" s="10">
        <f>COUNTIF('Survey Responses'!F:F, F1447)</f>
        <v/>
      </c>
    </row>
    <row r="1448">
      <c r="A1448" s="10" t="n">
        <v>1447</v>
      </c>
      <c r="B1448" s="11" t="inlineStr">
        <is>
          <t>Faridpur (GEN-A)</t>
        </is>
      </c>
      <c r="C1448" s="11" t="inlineStr">
        <is>
          <t>Mr. AKM Mizanur Rahman</t>
        </is>
      </c>
      <c r="D1448" s="11" t="inlineStr">
        <is>
          <t>Faridpur GEN-A-2</t>
        </is>
      </c>
      <c r="E1448" s="11" t="inlineStr">
        <is>
          <t>Mr. Md. Mehedi Hasan</t>
        </is>
      </c>
      <c r="F1448" s="10" t="n">
        <v>12819</v>
      </c>
      <c r="G1448" s="11" t="inlineStr">
        <is>
          <t>Faridpur-8</t>
        </is>
      </c>
      <c r="H1448" s="10" t="n">
        <v>2310</v>
      </c>
      <c r="I1448" s="11" t="inlineStr">
        <is>
          <t>Mamunur Rashid</t>
        </is>
      </c>
      <c r="J1448" s="10">
        <f>IF(K1448&gt;0, "Completed", "Pending")</f>
        <v/>
      </c>
      <c r="K1448" s="10">
        <f>COUNTIF('Survey Responses'!F:F, F1448)</f>
        <v/>
      </c>
    </row>
    <row r="1449">
      <c r="A1449" s="10" t="n">
        <v>1448</v>
      </c>
      <c r="B1449" s="11" t="inlineStr">
        <is>
          <t>Faridpur (GEN-A)</t>
        </is>
      </c>
      <c r="C1449" s="11" t="inlineStr">
        <is>
          <t>Mr. AKM Mizanur Rahman</t>
        </is>
      </c>
      <c r="D1449" s="11" t="inlineStr">
        <is>
          <t>Faridpur GEN-A-2</t>
        </is>
      </c>
      <c r="E1449" s="11" t="inlineStr">
        <is>
          <t>Mr. Md. Mehedi Hasan</t>
        </is>
      </c>
      <c r="F1449" s="10" t="n">
        <v>10465</v>
      </c>
      <c r="G1449" s="11" t="inlineStr">
        <is>
          <t>Goalondo</t>
        </is>
      </c>
      <c r="H1449" s="10" t="n">
        <v>6450</v>
      </c>
      <c r="I1449" s="11" t="inlineStr">
        <is>
          <t>Mr. Md. Abdus Salam</t>
        </is>
      </c>
      <c r="J1449" s="10">
        <f>IF(K1449&gt;0, "Completed", "Pending")</f>
        <v/>
      </c>
      <c r="K1449" s="10">
        <f>COUNTIF('Survey Responses'!F:F, F1449)</f>
        <v/>
      </c>
    </row>
    <row r="1450">
      <c r="A1450" s="10" t="n">
        <v>1449</v>
      </c>
      <c r="B1450" s="11" t="inlineStr">
        <is>
          <t>Faridpur (GEN-A)</t>
        </is>
      </c>
      <c r="C1450" s="11" t="inlineStr">
        <is>
          <t>Mr. AKM Mizanur Rahman</t>
        </is>
      </c>
      <c r="D1450" s="11" t="inlineStr">
        <is>
          <t>Faridpur GEN-A-2</t>
        </is>
      </c>
      <c r="E1450" s="11" t="inlineStr">
        <is>
          <t>Mr. Md. Mehedi Hasan</t>
        </is>
      </c>
      <c r="F1450" s="10" t="n">
        <v>10438</v>
      </c>
      <c r="G1450" s="11" t="inlineStr">
        <is>
          <t>Modhukhali-1</t>
        </is>
      </c>
      <c r="H1450" s="10" t="n">
        <v>6141</v>
      </c>
      <c r="I1450" s="11" t="inlineStr">
        <is>
          <t>Mr. Md. Eskender Ali</t>
        </is>
      </c>
      <c r="J1450" s="10">
        <f>IF(K1450&gt;0, "Completed", "Pending")</f>
        <v/>
      </c>
      <c r="K1450" s="10">
        <f>COUNTIF('Survey Responses'!F:F, F1450)</f>
        <v/>
      </c>
    </row>
    <row r="1451">
      <c r="A1451" s="10" t="n">
        <v>1450</v>
      </c>
      <c r="B1451" s="11" t="inlineStr">
        <is>
          <t>Faridpur (GEN-A)</t>
        </is>
      </c>
      <c r="C1451" s="11" t="inlineStr">
        <is>
          <t>Mr. AKM Mizanur Rahman</t>
        </is>
      </c>
      <c r="D1451" s="11" t="inlineStr">
        <is>
          <t>Faridpur GEN-A-2</t>
        </is>
      </c>
      <c r="E1451" s="11" t="inlineStr">
        <is>
          <t>Mr. Md. Mehedi Hasan</t>
        </is>
      </c>
      <c r="F1451" s="10" t="n">
        <v>12904</v>
      </c>
      <c r="G1451" s="11" t="inlineStr">
        <is>
          <t>Modhukhali-2</t>
        </is>
      </c>
      <c r="H1451" s="10" t="n">
        <v>5083</v>
      </c>
      <c r="I1451" s="11" t="inlineStr">
        <is>
          <t>Mr. Md. Juyel Islam</t>
        </is>
      </c>
      <c r="J1451" s="10">
        <f>IF(K1451&gt;0, "Completed", "Pending")</f>
        <v/>
      </c>
      <c r="K1451" s="10">
        <f>COUNTIF('Survey Responses'!F:F, F1451)</f>
        <v/>
      </c>
    </row>
    <row r="1452">
      <c r="A1452" s="10" t="n">
        <v>1451</v>
      </c>
      <c r="B1452" s="11" t="inlineStr">
        <is>
          <t>Faridpur (GEN-A)</t>
        </is>
      </c>
      <c r="C1452" s="11" t="inlineStr">
        <is>
          <t>Mr. AKM Mizanur Rahman</t>
        </is>
      </c>
      <c r="D1452" s="11" t="inlineStr">
        <is>
          <t>Gopalgonj GEN-A-1</t>
        </is>
      </c>
      <c r="E1452" s="11" t="inlineStr">
        <is>
          <t>Md. Abu Zafor</t>
        </is>
      </c>
      <c r="F1452" s="10" t="n">
        <v>10442</v>
      </c>
      <c r="G1452" s="11" t="inlineStr">
        <is>
          <t>Gopalgonj-3</t>
        </is>
      </c>
      <c r="H1452" s="10" t="n">
        <v>5048</v>
      </c>
      <c r="I1452" s="11" t="inlineStr">
        <is>
          <t>Mr. Ariful Islam</t>
        </is>
      </c>
      <c r="J1452" s="10">
        <f>IF(K1452&gt;0, "Completed", "Pending")</f>
        <v/>
      </c>
      <c r="K1452" s="10">
        <f>COUNTIF('Survey Responses'!F:F, F1452)</f>
        <v/>
      </c>
    </row>
    <row r="1453">
      <c r="A1453" s="10" t="n">
        <v>1452</v>
      </c>
      <c r="B1453" s="11" t="inlineStr">
        <is>
          <t>Faridpur (GEN-A)</t>
        </is>
      </c>
      <c r="C1453" s="11" t="inlineStr">
        <is>
          <t>Mr. AKM Mizanur Rahman</t>
        </is>
      </c>
      <c r="D1453" s="11" t="inlineStr">
        <is>
          <t>Gopalgonj GEN-A-1</t>
        </is>
      </c>
      <c r="E1453" s="11" t="inlineStr">
        <is>
          <t>Md. Abu Zafor</t>
        </is>
      </c>
      <c r="F1453" s="10" t="n">
        <v>12981</v>
      </c>
      <c r="G1453" s="11" t="inlineStr">
        <is>
          <t>Gopalgonj-4</t>
        </is>
      </c>
      <c r="H1453" s="10" t="n">
        <v>5926</v>
      </c>
      <c r="I1453" s="11" t="inlineStr">
        <is>
          <t>Mr. Md. Habibur Rahman</t>
        </is>
      </c>
      <c r="J1453" s="10">
        <f>IF(K1453&gt;0, "Completed", "Pending")</f>
        <v/>
      </c>
      <c r="K1453" s="10">
        <f>COUNTIF('Survey Responses'!F:F, F1453)</f>
        <v/>
      </c>
    </row>
    <row r="1454">
      <c r="A1454" s="10" t="n">
        <v>1453</v>
      </c>
      <c r="B1454" s="11" t="inlineStr">
        <is>
          <t>Faridpur (GEN-A)</t>
        </is>
      </c>
      <c r="C1454" s="11" t="inlineStr">
        <is>
          <t>Mr. AKM Mizanur Rahman</t>
        </is>
      </c>
      <c r="D1454" s="11" t="inlineStr">
        <is>
          <t>Gopalgonj GEN-A-1</t>
        </is>
      </c>
      <c r="E1454" s="11" t="inlineStr">
        <is>
          <t>Md. Abu Zafor</t>
        </is>
      </c>
      <c r="F1454" s="10" t="n">
        <v>10439</v>
      </c>
      <c r="G1454" s="11" t="inlineStr">
        <is>
          <t>Kotalipara-1</t>
        </is>
      </c>
      <c r="H1454" s="10" t="n">
        <v>1414</v>
      </c>
      <c r="I1454" s="11" t="inlineStr">
        <is>
          <t>Sajal Halder</t>
        </is>
      </c>
      <c r="J1454" s="10">
        <f>IF(K1454&gt;0, "Completed", "Pending")</f>
        <v/>
      </c>
      <c r="K1454" s="10">
        <f>COUNTIF('Survey Responses'!F:F, F1454)</f>
        <v/>
      </c>
    </row>
    <row r="1455">
      <c r="A1455" s="10" t="n">
        <v>1454</v>
      </c>
      <c r="B1455" s="11" t="inlineStr">
        <is>
          <t>Faridpur (GEN-A)</t>
        </is>
      </c>
      <c r="C1455" s="11" t="inlineStr">
        <is>
          <t>Mr. AKM Mizanur Rahman</t>
        </is>
      </c>
      <c r="D1455" s="11" t="inlineStr">
        <is>
          <t>Gopalgonj GEN-A-1</t>
        </is>
      </c>
      <c r="E1455" s="11" t="inlineStr">
        <is>
          <t>Md. Abu Zafor</t>
        </is>
      </c>
      <c r="F1455" s="10" t="n">
        <v>12283</v>
      </c>
      <c r="G1455" s="11" t="inlineStr">
        <is>
          <t>Kotalipara-2</t>
        </is>
      </c>
      <c r="H1455" s="10" t="n">
        <v>3662</v>
      </c>
      <c r="I1455" s="11" t="inlineStr">
        <is>
          <t>Mr. Miaraj Hossain</t>
        </is>
      </c>
      <c r="J1455" s="10">
        <f>IF(K1455&gt;0, "Completed", "Pending")</f>
        <v/>
      </c>
      <c r="K1455" s="10">
        <f>COUNTIF('Survey Responses'!F:F, F1455)</f>
        <v/>
      </c>
    </row>
    <row r="1456">
      <c r="A1456" s="10" t="n">
        <v>1455</v>
      </c>
      <c r="B1456" s="11" t="inlineStr">
        <is>
          <t>Faridpur (GEN-A)</t>
        </is>
      </c>
      <c r="C1456" s="11" t="inlineStr">
        <is>
          <t>Mr. AKM Mizanur Rahman</t>
        </is>
      </c>
      <c r="D1456" s="11" t="inlineStr">
        <is>
          <t>Gopalgonj GEN-A-1</t>
        </is>
      </c>
      <c r="E1456" s="11" t="inlineStr">
        <is>
          <t>Md. Abu Zafor</t>
        </is>
      </c>
      <c r="F1456" s="10" t="n">
        <v>14129</v>
      </c>
      <c r="G1456" s="11" t="inlineStr">
        <is>
          <t>Kotalipara-3</t>
        </is>
      </c>
      <c r="H1456" s="10" t="n">
        <v>7426</v>
      </c>
      <c r="I1456" s="11" t="inlineStr">
        <is>
          <t>Mr. Suzon Kumar</t>
        </is>
      </c>
      <c r="J1456" s="10">
        <f>IF(K1456&gt;0, "Completed", "Pending")</f>
        <v/>
      </c>
      <c r="K1456" s="10">
        <f>COUNTIF('Survey Responses'!F:F, F1456)</f>
        <v/>
      </c>
    </row>
    <row r="1457">
      <c r="A1457" s="10" t="n">
        <v>1456</v>
      </c>
      <c r="B1457" s="11" t="inlineStr">
        <is>
          <t>Faridpur (GEN-A)</t>
        </is>
      </c>
      <c r="C1457" s="11" t="inlineStr">
        <is>
          <t>Mr. AKM Mizanur Rahman</t>
        </is>
      </c>
      <c r="D1457" s="11" t="inlineStr">
        <is>
          <t>Gopalgonj GEN-A-1</t>
        </is>
      </c>
      <c r="E1457" s="11" t="inlineStr">
        <is>
          <t>Md. Abu Zafor</t>
        </is>
      </c>
      <c r="F1457" s="10" t="n">
        <v>13091</v>
      </c>
      <c r="G1457" s="11" t="inlineStr">
        <is>
          <t>Mollahat-1</t>
        </is>
      </c>
      <c r="H1457" s="10" t="n">
        <v>1303</v>
      </c>
      <c r="I1457" s="11" t="inlineStr">
        <is>
          <t>Md. Deloar Hossain</t>
        </is>
      </c>
      <c r="J1457" s="10">
        <f>IF(K1457&gt;0, "Completed", "Pending")</f>
        <v/>
      </c>
      <c r="K1457" s="10">
        <f>COUNTIF('Survey Responses'!F:F, F1457)</f>
        <v/>
      </c>
    </row>
    <row r="1458">
      <c r="A1458" s="10" t="n">
        <v>1457</v>
      </c>
      <c r="B1458" s="11" t="inlineStr">
        <is>
          <t>Faridpur (GEN-A)</t>
        </is>
      </c>
      <c r="C1458" s="11" t="inlineStr">
        <is>
          <t>Mr. AKM Mizanur Rahman</t>
        </is>
      </c>
      <c r="D1458" s="11" t="inlineStr">
        <is>
          <t>Gopalgonj GEN-A-1</t>
        </is>
      </c>
      <c r="E1458" s="11" t="inlineStr">
        <is>
          <t>Md. Abu Zafor</t>
        </is>
      </c>
      <c r="F1458" s="10" t="n">
        <v>12201</v>
      </c>
      <c r="G1458" s="11" t="inlineStr">
        <is>
          <t>Tungipara-1</t>
        </is>
      </c>
      <c r="H1458" s="10" t="n">
        <v>2049</v>
      </c>
      <c r="I1458" s="11" t="inlineStr">
        <is>
          <t>A.H.M. Golam Sarwar</t>
        </is>
      </c>
      <c r="J1458" s="10">
        <f>IF(K1458&gt;0, "Completed", "Pending")</f>
        <v/>
      </c>
      <c r="K1458" s="10">
        <f>COUNTIF('Survey Responses'!F:F, F1458)</f>
        <v/>
      </c>
    </row>
    <row r="1459">
      <c r="A1459" s="10" t="n">
        <v>1458</v>
      </c>
      <c r="B1459" s="11" t="inlineStr">
        <is>
          <t>Faridpur (GEN-A)</t>
        </is>
      </c>
      <c r="C1459" s="11" t="inlineStr">
        <is>
          <t>Mr. AKM Mizanur Rahman</t>
        </is>
      </c>
      <c r="D1459" s="11" t="inlineStr">
        <is>
          <t>Gopalgonj GEN-A-2</t>
        </is>
      </c>
      <c r="E1459" s="11" t="inlineStr">
        <is>
          <t>Mr. Provat Kumar Sarker</t>
        </is>
      </c>
      <c r="F1459" s="10" t="n">
        <v>10440</v>
      </c>
      <c r="G1459" s="11" t="inlineStr">
        <is>
          <t>Gopalgonj-1</t>
        </is>
      </c>
      <c r="H1459" s="10" t="n">
        <v>7135</v>
      </c>
      <c r="I1459" s="11" t="inlineStr">
        <is>
          <t>Mr. Md. Abdul Mannan</t>
        </is>
      </c>
      <c r="J1459" s="10">
        <f>IF(K1459&gt;0, "Completed", "Pending")</f>
        <v/>
      </c>
      <c r="K1459" s="10">
        <f>COUNTIF('Survey Responses'!F:F, F1459)</f>
        <v/>
      </c>
    </row>
    <row r="1460">
      <c r="A1460" s="10" t="n">
        <v>1459</v>
      </c>
      <c r="B1460" s="11" t="inlineStr">
        <is>
          <t>Faridpur (GEN-A)</t>
        </is>
      </c>
      <c r="C1460" s="11" t="inlineStr">
        <is>
          <t>Mr. AKM Mizanur Rahman</t>
        </is>
      </c>
      <c r="D1460" s="11" t="inlineStr">
        <is>
          <t>Gopalgonj GEN-A-2</t>
        </is>
      </c>
      <c r="E1460" s="11" t="inlineStr">
        <is>
          <t>Mr. Provat Kumar Sarker</t>
        </is>
      </c>
      <c r="F1460" s="10" t="n">
        <v>10441</v>
      </c>
      <c r="G1460" s="11" t="inlineStr">
        <is>
          <t>Gopalgonj-2</t>
        </is>
      </c>
      <c r="H1460" s="10" t="n">
        <v>3277</v>
      </c>
      <c r="I1460" s="11" t="inlineStr">
        <is>
          <t>Tariqul Islam</t>
        </is>
      </c>
      <c r="J1460" s="10">
        <f>IF(K1460&gt;0, "Completed", "Pending")</f>
        <v/>
      </c>
      <c r="K1460" s="10">
        <f>COUNTIF('Survey Responses'!F:F, F1460)</f>
        <v/>
      </c>
    </row>
    <row r="1461">
      <c r="A1461" s="10" t="n">
        <v>1460</v>
      </c>
      <c r="B1461" s="11" t="inlineStr">
        <is>
          <t>Faridpur (GEN-A)</t>
        </is>
      </c>
      <c r="C1461" s="11" t="inlineStr">
        <is>
          <t>Mr. AKM Mizanur Rahman</t>
        </is>
      </c>
      <c r="D1461" s="11" t="inlineStr">
        <is>
          <t>Gopalgonj GEN-A-2</t>
        </is>
      </c>
      <c r="E1461" s="11" t="inlineStr">
        <is>
          <t>Mr. Provat Kumar Sarker</t>
        </is>
      </c>
      <c r="F1461" s="10" t="n">
        <v>10443</v>
      </c>
      <c r="G1461" s="11" t="inlineStr">
        <is>
          <t>Kashiani-1</t>
        </is>
      </c>
      <c r="H1461" s="10" t="n">
        <v>1744</v>
      </c>
      <c r="I1461" s="11" t="inlineStr">
        <is>
          <t>Md. Helal Hossain</t>
        </is>
      </c>
      <c r="J1461" s="10">
        <f>IF(K1461&gt;0, "Completed", "Pending")</f>
        <v/>
      </c>
      <c r="K1461" s="10">
        <f>COUNTIF('Survey Responses'!F:F, F1461)</f>
        <v/>
      </c>
    </row>
    <row r="1462">
      <c r="A1462" s="10" t="n">
        <v>1461</v>
      </c>
      <c r="B1462" s="11" t="inlineStr">
        <is>
          <t>Faridpur (GEN-A)</t>
        </is>
      </c>
      <c r="C1462" s="11" t="inlineStr">
        <is>
          <t>Mr. AKM Mizanur Rahman</t>
        </is>
      </c>
      <c r="D1462" s="11" t="inlineStr">
        <is>
          <t>Gopalgonj GEN-A-2</t>
        </is>
      </c>
      <c r="E1462" s="11" t="inlineStr">
        <is>
          <t>Mr. Provat Kumar Sarker</t>
        </is>
      </c>
      <c r="F1462" s="10" t="n">
        <v>13657</v>
      </c>
      <c r="G1462" s="11" t="inlineStr">
        <is>
          <t>Kashiani-2</t>
        </is>
      </c>
      <c r="H1462" s="10" t="n">
        <v>7290</v>
      </c>
      <c r="I1462" s="11" t="inlineStr">
        <is>
          <t>Mr. Md. Al-Amin</t>
        </is>
      </c>
      <c r="J1462" s="10">
        <f>IF(K1462&gt;0, "Completed", "Pending")</f>
        <v/>
      </c>
      <c r="K1462" s="10">
        <f>COUNTIF('Survey Responses'!F:F, F1462)</f>
        <v/>
      </c>
    </row>
    <row r="1463">
      <c r="A1463" s="10" t="n">
        <v>1462</v>
      </c>
      <c r="B1463" s="11" t="inlineStr">
        <is>
          <t>Faridpur (GEN-A)</t>
        </is>
      </c>
      <c r="C1463" s="11" t="inlineStr">
        <is>
          <t>Mr. AKM Mizanur Rahman</t>
        </is>
      </c>
      <c r="D1463" s="11" t="inlineStr">
        <is>
          <t>Gopalgonj GEN-A-2</t>
        </is>
      </c>
      <c r="E1463" s="11" t="inlineStr">
        <is>
          <t>Mr. Provat Kumar Sarker</t>
        </is>
      </c>
      <c r="F1463" s="10" t="n">
        <v>10446</v>
      </c>
      <c r="G1463" s="11" t="inlineStr">
        <is>
          <t>Moksedpur-1</t>
        </is>
      </c>
      <c r="H1463" s="10" t="n">
        <v>3735</v>
      </c>
      <c r="I1463" s="11" t="inlineStr">
        <is>
          <t>Mr. Md. Abu Bakar Siddique</t>
        </is>
      </c>
      <c r="J1463" s="10">
        <f>IF(K1463&gt;0, "Completed", "Pending")</f>
        <v/>
      </c>
      <c r="K1463" s="10">
        <f>COUNTIF('Survey Responses'!F:F, F1463)</f>
        <v/>
      </c>
    </row>
    <row r="1464">
      <c r="A1464" s="10" t="n">
        <v>1463</v>
      </c>
      <c r="B1464" s="11" t="inlineStr">
        <is>
          <t>Faridpur (GEN-A)</t>
        </is>
      </c>
      <c r="C1464" s="11" t="inlineStr">
        <is>
          <t>Mr. AKM Mizanur Rahman</t>
        </is>
      </c>
      <c r="D1464" s="11" t="inlineStr">
        <is>
          <t>Gopalgonj GEN-A-2</t>
        </is>
      </c>
      <c r="E1464" s="11" t="inlineStr">
        <is>
          <t>Mr. Provat Kumar Sarker</t>
        </is>
      </c>
      <c r="F1464" s="10" t="n">
        <v>12351</v>
      </c>
      <c r="G1464" s="11" t="inlineStr">
        <is>
          <t>Moksedpur-2</t>
        </is>
      </c>
      <c r="H1464" s="10" t="n">
        <v>3750</v>
      </c>
      <c r="I1464" s="11" t="inlineStr">
        <is>
          <t>Mr. Md. Shamim Mahbub</t>
        </is>
      </c>
      <c r="J1464" s="10">
        <f>IF(K1464&gt;0, "Completed", "Pending")</f>
        <v/>
      </c>
      <c r="K1464" s="10">
        <f>COUNTIF('Survey Responses'!F:F, F1464)</f>
        <v/>
      </c>
    </row>
    <row r="1465">
      <c r="A1465" s="10" t="n">
        <v>1464</v>
      </c>
      <c r="B1465" s="11" t="inlineStr">
        <is>
          <t>Faridpur (GEN-A)</t>
        </is>
      </c>
      <c r="C1465" s="11" t="inlineStr">
        <is>
          <t>Mr. AKM Mizanur Rahman</t>
        </is>
      </c>
      <c r="D1465" s="11" t="inlineStr">
        <is>
          <t>Gopalgonj GEN-A-2</t>
        </is>
      </c>
      <c r="E1465" s="11" t="inlineStr">
        <is>
          <t>Mr. Provat Kumar Sarker</t>
        </is>
      </c>
      <c r="F1465" s="10" t="n">
        <v>13303</v>
      </c>
      <c r="G1465" s="11" t="inlineStr">
        <is>
          <t>Moksedpur-3</t>
        </is>
      </c>
      <c r="H1465" s="10" t="n">
        <v>6053</v>
      </c>
      <c r="I1465" s="11" t="inlineStr">
        <is>
          <t>Md. Ashikur Rahman</t>
        </is>
      </c>
      <c r="J1465" s="10">
        <f>IF(K1465&gt;0, "Completed", "Pending")</f>
        <v/>
      </c>
      <c r="K1465" s="10">
        <f>COUNTIF('Survey Responses'!F:F, F1465)</f>
        <v/>
      </c>
    </row>
    <row r="1466">
      <c r="A1466" s="10" t="n">
        <v>1465</v>
      </c>
      <c r="B1466" s="11" t="inlineStr">
        <is>
          <t>Faridpur (GEN-A)</t>
        </is>
      </c>
      <c r="C1466" s="11" t="inlineStr">
        <is>
          <t>Mr. AKM Mizanur Rahman</t>
        </is>
      </c>
      <c r="D1466" s="11" t="inlineStr">
        <is>
          <t>Rajbari GEN-A-1</t>
        </is>
      </c>
      <c r="E1466" s="11" t="inlineStr">
        <is>
          <t>Mr. Manitosh Biswas</t>
        </is>
      </c>
      <c r="F1466" s="10" t="n">
        <v>10467</v>
      </c>
      <c r="G1466" s="11" t="inlineStr">
        <is>
          <t>Baliakandi</t>
        </is>
      </c>
      <c r="H1466" s="10" t="n">
        <v>8994</v>
      </c>
      <c r="I1466" s="11" t="inlineStr">
        <is>
          <t>Mr. Md. Ridwan Mostazir</t>
        </is>
      </c>
      <c r="J1466" s="10">
        <f>IF(K1466&gt;0, "Completed", "Pending")</f>
        <v/>
      </c>
      <c r="K1466" s="10">
        <f>COUNTIF('Survey Responses'!F:F, F1466)</f>
        <v/>
      </c>
    </row>
    <row r="1467">
      <c r="A1467" s="10" t="n">
        <v>1466</v>
      </c>
      <c r="B1467" s="11" t="inlineStr">
        <is>
          <t>Faridpur (GEN-A)</t>
        </is>
      </c>
      <c r="C1467" s="11" t="inlineStr">
        <is>
          <t>Mr. AKM Mizanur Rahman</t>
        </is>
      </c>
      <c r="D1467" s="11" t="inlineStr">
        <is>
          <t>Rajbari GEN-A-1</t>
        </is>
      </c>
      <c r="E1467" s="11" t="inlineStr">
        <is>
          <t>Mr. Manitosh Biswas</t>
        </is>
      </c>
      <c r="F1467" s="10" t="n">
        <v>13184</v>
      </c>
      <c r="G1467" s="11" t="inlineStr">
        <is>
          <t>Kalukhali-1</t>
        </is>
      </c>
      <c r="H1467" s="10" t="n">
        <v>5158</v>
      </c>
      <c r="I1467" s="11" t="inlineStr">
        <is>
          <t>Mr. Sadhin Chandra Roy</t>
        </is>
      </c>
      <c r="J1467" s="10">
        <f>IF(K1467&gt;0, "Completed", "Pending")</f>
        <v/>
      </c>
      <c r="K1467" s="10">
        <f>COUNTIF('Survey Responses'!F:F, F1467)</f>
        <v/>
      </c>
    </row>
    <row r="1468">
      <c r="A1468" s="10" t="n">
        <v>1467</v>
      </c>
      <c r="B1468" s="11" t="inlineStr">
        <is>
          <t>Faridpur (GEN-A)</t>
        </is>
      </c>
      <c r="C1468" s="11" t="inlineStr">
        <is>
          <t>Mr. AKM Mizanur Rahman</t>
        </is>
      </c>
      <c r="D1468" s="11" t="inlineStr">
        <is>
          <t>Rajbari GEN-A-1</t>
        </is>
      </c>
      <c r="E1468" s="11" t="inlineStr">
        <is>
          <t>Mr. Manitosh Biswas</t>
        </is>
      </c>
      <c r="F1468" s="10" t="n">
        <v>10464</v>
      </c>
      <c r="G1468" s="11" t="inlineStr">
        <is>
          <t>Pangsha-1</t>
        </is>
      </c>
      <c r="H1468" s="10" t="n">
        <v>2174</v>
      </c>
      <c r="I1468" s="11" t="inlineStr">
        <is>
          <t>Md. Sayrul Islam</t>
        </is>
      </c>
      <c r="J1468" s="10">
        <f>IF(K1468&gt;0, "Completed", "Pending")</f>
        <v/>
      </c>
      <c r="K1468" s="10">
        <f>COUNTIF('Survey Responses'!F:F, F1468)</f>
        <v/>
      </c>
    </row>
    <row r="1469">
      <c r="A1469" s="10" t="n">
        <v>1468</v>
      </c>
      <c r="B1469" s="11" t="inlineStr">
        <is>
          <t>Faridpur (GEN-A)</t>
        </is>
      </c>
      <c r="C1469" s="11" t="inlineStr">
        <is>
          <t>Mr. AKM Mizanur Rahman</t>
        </is>
      </c>
      <c r="D1469" s="11" t="inlineStr">
        <is>
          <t>Rajbari GEN-A-1</t>
        </is>
      </c>
      <c r="E1469" s="11" t="inlineStr">
        <is>
          <t>Mr. Manitosh Biswas</t>
        </is>
      </c>
      <c r="F1469" s="10" t="n">
        <v>10468</v>
      </c>
      <c r="G1469" s="11" t="inlineStr">
        <is>
          <t>Pangsha-2</t>
        </is>
      </c>
      <c r="H1469" s="10" t="n">
        <v>3020</v>
      </c>
      <c r="I1469" s="11" t="inlineStr">
        <is>
          <t>Md. Allama Iqbal</t>
        </is>
      </c>
      <c r="J1469" s="10">
        <f>IF(K1469&gt;0, "Completed", "Pending")</f>
        <v/>
      </c>
      <c r="K1469" s="10">
        <f>COUNTIF('Survey Responses'!F:F, F1469)</f>
        <v/>
      </c>
    </row>
    <row r="1470">
      <c r="A1470" s="10" t="n">
        <v>1469</v>
      </c>
      <c r="B1470" s="11" t="inlineStr">
        <is>
          <t>Faridpur (GEN-A)</t>
        </is>
      </c>
      <c r="C1470" s="11" t="inlineStr">
        <is>
          <t>Mr. AKM Mizanur Rahman</t>
        </is>
      </c>
      <c r="D1470" s="11" t="inlineStr">
        <is>
          <t>Rajbari GEN-A-1</t>
        </is>
      </c>
      <c r="E1470" s="11" t="inlineStr">
        <is>
          <t>Mr. Manitosh Biswas</t>
        </is>
      </c>
      <c r="F1470" s="10" t="n">
        <v>10466</v>
      </c>
      <c r="G1470" s="11" t="inlineStr">
        <is>
          <t xml:space="preserve">Rajbari-1 </t>
        </is>
      </c>
      <c r="H1470" s="10" t="n">
        <v>7648</v>
      </c>
      <c r="I1470" s="11" t="inlineStr">
        <is>
          <t>Mr. Md. Belal Hossain</t>
        </is>
      </c>
      <c r="J1470" s="10">
        <f>IF(K1470&gt;0, "Completed", "Pending")</f>
        <v/>
      </c>
      <c r="K1470" s="10">
        <f>COUNTIF('Survey Responses'!F:F, F1470)</f>
        <v/>
      </c>
    </row>
    <row r="1471">
      <c r="A1471" s="10" t="n">
        <v>1470</v>
      </c>
      <c r="B1471" s="11" t="inlineStr">
        <is>
          <t>Faridpur (GEN-A)</t>
        </is>
      </c>
      <c r="C1471" s="11" t="inlineStr">
        <is>
          <t>Mr. AKM Mizanur Rahman</t>
        </is>
      </c>
      <c r="D1471" s="11" t="inlineStr">
        <is>
          <t>Rajbari GEN-A-1</t>
        </is>
      </c>
      <c r="E1471" s="11" t="inlineStr">
        <is>
          <t>Mr. Manitosh Biswas</t>
        </is>
      </c>
      <c r="F1471" s="10" t="n">
        <v>10463</v>
      </c>
      <c r="G1471" s="11" t="inlineStr">
        <is>
          <t>Rajbari-2</t>
        </is>
      </c>
      <c r="H1471" s="10" t="n">
        <v>764</v>
      </c>
      <c r="I1471" s="11" t="inlineStr">
        <is>
          <t>Md. Habibur Rahman</t>
        </is>
      </c>
      <c r="J1471" s="10">
        <f>IF(K1471&gt;0, "Completed", "Pending")</f>
        <v/>
      </c>
      <c r="K1471" s="10">
        <f>COUNTIF('Survey Responses'!F:F, F1471)</f>
        <v/>
      </c>
    </row>
    <row r="1472">
      <c r="A1472" s="10" t="n">
        <v>1471</v>
      </c>
      <c r="B1472" s="11" t="inlineStr">
        <is>
          <t>Faridpur (GEN-A)</t>
        </is>
      </c>
      <c r="C1472" s="11" t="inlineStr">
        <is>
          <t>Mr. AKM Mizanur Rahman</t>
        </is>
      </c>
      <c r="D1472" s="11" t="inlineStr">
        <is>
          <t>Rajbari GEN-A-1</t>
        </is>
      </c>
      <c r="E1472" s="11" t="inlineStr">
        <is>
          <t>Mr. Manitosh Biswas</t>
        </is>
      </c>
      <c r="F1472" s="10" t="n">
        <v>12319</v>
      </c>
      <c r="G1472" s="11" t="inlineStr">
        <is>
          <t>Rajbari-3</t>
        </is>
      </c>
      <c r="H1472" s="10" t="n">
        <v>6451</v>
      </c>
      <c r="I1472" s="11" t="inlineStr">
        <is>
          <t>Mr. Sajol Molla</t>
        </is>
      </c>
      <c r="J1472" s="10">
        <f>IF(K1472&gt;0, "Completed", "Pending")</f>
        <v/>
      </c>
      <c r="K1472" s="10">
        <f>COUNTIF('Survey Responses'!F:F, F1472)</f>
        <v/>
      </c>
    </row>
    <row r="1473">
      <c r="A1473" s="10" t="n">
        <v>1472</v>
      </c>
      <c r="B1473" s="11" t="inlineStr">
        <is>
          <t>Faridpur (GEN-A)</t>
        </is>
      </c>
      <c r="C1473" s="11" t="inlineStr">
        <is>
          <t>Mr. AKM Mizanur Rahman</t>
        </is>
      </c>
      <c r="D1473" s="11" t="inlineStr">
        <is>
          <t>Shibchar GEN-A-1</t>
        </is>
      </c>
      <c r="E1473" s="11" t="inlineStr">
        <is>
          <t>Mr. Jiban Kumar Debnath</t>
        </is>
      </c>
      <c r="F1473" s="10" t="n">
        <v>10456</v>
      </c>
      <c r="G1473" s="11" t="inlineStr">
        <is>
          <t>Damuddia</t>
        </is>
      </c>
      <c r="H1473" s="10" t="n">
        <v>5656</v>
      </c>
      <c r="I1473" s="11" t="inlineStr">
        <is>
          <t>Mr. Md. Milan Hosen</t>
        </is>
      </c>
      <c r="J1473" s="10">
        <f>IF(K1473&gt;0, "Completed", "Pending")</f>
        <v/>
      </c>
      <c r="K1473" s="10">
        <f>COUNTIF('Survey Responses'!F:F, F1473)</f>
        <v/>
      </c>
    </row>
    <row r="1474">
      <c r="A1474" s="10" t="n">
        <v>1473</v>
      </c>
      <c r="B1474" s="11" t="inlineStr">
        <is>
          <t>Faridpur (GEN-A)</t>
        </is>
      </c>
      <c r="C1474" s="11" t="inlineStr">
        <is>
          <t>Mr. AKM Mizanur Rahman</t>
        </is>
      </c>
      <c r="D1474" s="11" t="inlineStr">
        <is>
          <t>Shibchar GEN-A-1</t>
        </is>
      </c>
      <c r="E1474" s="11" t="inlineStr">
        <is>
          <t>Mr. Jiban Kumar Debnath</t>
        </is>
      </c>
      <c r="F1474" s="10" t="n">
        <v>10457</v>
      </c>
      <c r="G1474" s="11" t="inlineStr">
        <is>
          <t>Naria-1</t>
        </is>
      </c>
      <c r="H1474" s="10" t="n">
        <v>1539</v>
      </c>
      <c r="I1474" s="11" t="inlineStr">
        <is>
          <t>Md. Selim Reza</t>
        </is>
      </c>
      <c r="J1474" s="10">
        <f>IF(K1474&gt;0, "Completed", "Pending")</f>
        <v/>
      </c>
      <c r="K1474" s="10">
        <f>COUNTIF('Survey Responses'!F:F, F1474)</f>
        <v/>
      </c>
    </row>
    <row r="1475">
      <c r="A1475" s="10" t="n">
        <v>1474</v>
      </c>
      <c r="B1475" s="11" t="inlineStr">
        <is>
          <t>Faridpur (GEN-A)</t>
        </is>
      </c>
      <c r="C1475" s="11" t="inlineStr">
        <is>
          <t>Mr. AKM Mizanur Rahman</t>
        </is>
      </c>
      <c r="D1475" s="11" t="inlineStr">
        <is>
          <t>Shibchar GEN-A-1</t>
        </is>
      </c>
      <c r="E1475" s="11" t="inlineStr">
        <is>
          <t>Mr. Jiban Kumar Debnath</t>
        </is>
      </c>
      <c r="F1475" s="10" t="n">
        <v>12540</v>
      </c>
      <c r="G1475" s="11" t="inlineStr">
        <is>
          <t>Naria-2</t>
        </is>
      </c>
      <c r="H1475" s="10" t="n">
        <v>3291</v>
      </c>
      <c r="I1475" s="11" t="inlineStr">
        <is>
          <t>Md. Tahidul Islam</t>
        </is>
      </c>
      <c r="J1475" s="10">
        <f>IF(K1475&gt;0, "Completed", "Pending")</f>
        <v/>
      </c>
      <c r="K1475" s="10">
        <f>COUNTIF('Survey Responses'!F:F, F1475)</f>
        <v/>
      </c>
    </row>
    <row r="1476">
      <c r="A1476" s="10" t="n">
        <v>1475</v>
      </c>
      <c r="B1476" s="11" t="inlineStr">
        <is>
          <t>Faridpur (GEN-A)</t>
        </is>
      </c>
      <c r="C1476" s="11" t="inlineStr">
        <is>
          <t>Mr. AKM Mizanur Rahman</t>
        </is>
      </c>
      <c r="D1476" s="11" t="inlineStr">
        <is>
          <t>Shibchar GEN-A-1</t>
        </is>
      </c>
      <c r="E1476" s="11" t="inlineStr">
        <is>
          <t>Mr. Jiban Kumar Debnath</t>
        </is>
      </c>
      <c r="F1476" s="10" t="n">
        <v>12649</v>
      </c>
      <c r="G1476" s="11" t="inlineStr">
        <is>
          <t>Panchar-1</t>
        </is>
      </c>
      <c r="H1476" s="10" t="n">
        <v>3024</v>
      </c>
      <c r="I1476" s="11" t="inlineStr">
        <is>
          <t>Mithun Mondol</t>
        </is>
      </c>
      <c r="J1476" s="10">
        <f>IF(K1476&gt;0, "Completed", "Pending")</f>
        <v/>
      </c>
      <c r="K1476" s="10">
        <f>COUNTIF('Survey Responses'!F:F, F1476)</f>
        <v/>
      </c>
    </row>
    <row r="1477">
      <c r="A1477" s="10" t="n">
        <v>1476</v>
      </c>
      <c r="B1477" s="11" t="inlineStr">
        <is>
          <t>Faridpur (GEN-A)</t>
        </is>
      </c>
      <c r="C1477" s="11" t="inlineStr">
        <is>
          <t>Mr. AKM Mizanur Rahman</t>
        </is>
      </c>
      <c r="D1477" s="11" t="inlineStr">
        <is>
          <t>Shibchar GEN-A-1</t>
        </is>
      </c>
      <c r="E1477" s="11" t="inlineStr">
        <is>
          <t>Mr. Jiban Kumar Debnath</t>
        </is>
      </c>
      <c r="F1477" s="10" t="n">
        <v>10447</v>
      </c>
      <c r="G1477" s="11" t="inlineStr">
        <is>
          <t>Shibchar-1</t>
        </is>
      </c>
      <c r="H1477" s="10" t="n">
        <v>5976</v>
      </c>
      <c r="I1477" s="11" t="inlineStr">
        <is>
          <t>Md. Nur Alam Siddique</t>
        </is>
      </c>
      <c r="J1477" s="10">
        <f>IF(K1477&gt;0, "Completed", "Pending")</f>
        <v/>
      </c>
      <c r="K1477" s="10">
        <f>COUNTIF('Survey Responses'!F:F, F1477)</f>
        <v/>
      </c>
    </row>
    <row r="1478">
      <c r="A1478" s="10" t="n">
        <v>1477</v>
      </c>
      <c r="B1478" s="11" t="inlineStr">
        <is>
          <t>Faridpur (GEN-A)</t>
        </is>
      </c>
      <c r="C1478" s="11" t="inlineStr">
        <is>
          <t>Mr. AKM Mizanur Rahman</t>
        </is>
      </c>
      <c r="D1478" s="11" t="inlineStr">
        <is>
          <t>Shibchar GEN-A-1</t>
        </is>
      </c>
      <c r="E1478" s="11" t="inlineStr">
        <is>
          <t>Mr. Jiban Kumar Debnath</t>
        </is>
      </c>
      <c r="F1478" s="10" t="n">
        <v>10448</v>
      </c>
      <c r="G1478" s="11" t="inlineStr">
        <is>
          <t>Shibchar-2</t>
        </is>
      </c>
      <c r="H1478" s="10" t="n">
        <v>7409</v>
      </c>
      <c r="I1478" s="11" t="inlineStr">
        <is>
          <t>Mr. Md. Jender Ali</t>
        </is>
      </c>
      <c r="J1478" s="10">
        <f>IF(K1478&gt;0, "Completed", "Pending")</f>
        <v/>
      </c>
      <c r="K1478" s="10">
        <f>COUNTIF('Survey Responses'!F:F, F1478)</f>
        <v/>
      </c>
    </row>
    <row r="1479">
      <c r="A1479" s="10" t="n">
        <v>1478</v>
      </c>
      <c r="B1479" s="11" t="inlineStr">
        <is>
          <t>Faridpur (GEN-A)</t>
        </is>
      </c>
      <c r="C1479" s="11" t="inlineStr">
        <is>
          <t>Mr. AKM Mizanur Rahman</t>
        </is>
      </c>
      <c r="D1479" s="11" t="inlineStr">
        <is>
          <t>Shibchar GEN-A-1</t>
        </is>
      </c>
      <c r="E1479" s="11" t="inlineStr">
        <is>
          <t>Mr. Jiban Kumar Debnath</t>
        </is>
      </c>
      <c r="F1479" s="10" t="n">
        <v>10462</v>
      </c>
      <c r="G1479" s="11" t="inlineStr">
        <is>
          <t>Zanjira</t>
        </is>
      </c>
      <c r="H1479" s="10" t="n">
        <v>3273</v>
      </c>
      <c r="I1479" s="11" t="inlineStr">
        <is>
          <t>Md. Motallib</t>
        </is>
      </c>
      <c r="J1479" s="10">
        <f>IF(K1479&gt;0, "Completed", "Pending")</f>
        <v/>
      </c>
      <c r="K1479" s="10">
        <f>COUNTIF('Survey Responses'!F:F, F1479)</f>
        <v/>
      </c>
    </row>
    <row r="1480">
      <c r="A1480" s="10" t="n">
        <v>1479</v>
      </c>
      <c r="B1480" s="11" t="inlineStr">
        <is>
          <t>Jashore (GEN-A)</t>
        </is>
      </c>
      <c r="C1480" s="11" t="inlineStr">
        <is>
          <t>Mr. Mahabubur Rahman</t>
        </is>
      </c>
      <c r="D1480" s="11" t="inlineStr">
        <is>
          <t>Chuadanga GEN-A-1</t>
        </is>
      </c>
      <c r="E1480" s="11" t="inlineStr">
        <is>
          <t>Mr. Bikash Chandra Guha</t>
        </is>
      </c>
      <c r="F1480" s="10" t="n">
        <v>10341</v>
      </c>
      <c r="G1480" s="11" t="inlineStr">
        <is>
          <t>Chuadanga-1</t>
        </is>
      </c>
      <c r="H1480" s="10" t="n">
        <v>2531</v>
      </c>
      <c r="I1480" s="11" t="inlineStr">
        <is>
          <t>Md. Wares Ali</t>
        </is>
      </c>
      <c r="J1480" s="10">
        <f>IF(K1480&gt;0, "Completed", "Pending")</f>
        <v/>
      </c>
      <c r="K1480" s="10">
        <f>COUNTIF('Survey Responses'!F:F, F1480)</f>
        <v/>
      </c>
    </row>
    <row r="1481">
      <c r="A1481" s="10" t="n">
        <v>1480</v>
      </c>
      <c r="B1481" s="11" t="inlineStr">
        <is>
          <t>Jashore (GEN-A)</t>
        </is>
      </c>
      <c r="C1481" s="11" t="inlineStr">
        <is>
          <t>Mr. Mahabubur Rahman</t>
        </is>
      </c>
      <c r="D1481" s="11" t="inlineStr">
        <is>
          <t>Chuadanga GEN-A-1</t>
        </is>
      </c>
      <c r="E1481" s="11" t="inlineStr">
        <is>
          <t>Mr. Bikash Chandra Guha</t>
        </is>
      </c>
      <c r="F1481" s="10" t="n">
        <v>10343</v>
      </c>
      <c r="G1481" s="11" t="inlineStr">
        <is>
          <t>Chuadanga-2</t>
        </is>
      </c>
      <c r="H1481" s="10" t="n">
        <v>5459</v>
      </c>
      <c r="I1481" s="11" t="inlineStr">
        <is>
          <t>Mr. Md. Selim Al Mamun Sohag</t>
        </is>
      </c>
      <c r="J1481" s="10">
        <f>IF(K1481&gt;0, "Completed", "Pending")</f>
        <v/>
      </c>
      <c r="K1481" s="10">
        <f>COUNTIF('Survey Responses'!F:F, F1481)</f>
        <v/>
      </c>
    </row>
    <row r="1482">
      <c r="A1482" s="10" t="n">
        <v>1481</v>
      </c>
      <c r="B1482" s="11" t="inlineStr">
        <is>
          <t>Jashore (GEN-A)</t>
        </is>
      </c>
      <c r="C1482" s="11" t="inlineStr">
        <is>
          <t>Mr. Mahabubur Rahman</t>
        </is>
      </c>
      <c r="D1482" s="11" t="inlineStr">
        <is>
          <t>Chuadanga GEN-A-1</t>
        </is>
      </c>
      <c r="E1482" s="11" t="inlineStr">
        <is>
          <t>Mr. Bikash Chandra Guha</t>
        </is>
      </c>
      <c r="F1482" s="10" t="n">
        <v>10345</v>
      </c>
      <c r="G1482" s="11" t="inlineStr">
        <is>
          <t>Chuadanga-3</t>
        </is>
      </c>
      <c r="H1482" s="10" t="n">
        <v>1472</v>
      </c>
      <c r="I1482" s="11" t="inlineStr">
        <is>
          <t>Md. Mahbubur Rahman</t>
        </is>
      </c>
      <c r="J1482" s="10">
        <f>IF(K1482&gt;0, "Completed", "Pending")</f>
        <v/>
      </c>
      <c r="K1482" s="10">
        <f>COUNTIF('Survey Responses'!F:F, F1482)</f>
        <v/>
      </c>
    </row>
    <row r="1483">
      <c r="A1483" s="10" t="n">
        <v>1482</v>
      </c>
      <c r="B1483" s="11" t="inlineStr">
        <is>
          <t>Jashore (GEN-A)</t>
        </is>
      </c>
      <c r="C1483" s="11" t="inlineStr">
        <is>
          <t>Mr. Mahabubur Rahman</t>
        </is>
      </c>
      <c r="D1483" s="11" t="inlineStr">
        <is>
          <t>Chuadanga GEN-A-1</t>
        </is>
      </c>
      <c r="E1483" s="11" t="inlineStr">
        <is>
          <t>Mr. Bikash Chandra Guha</t>
        </is>
      </c>
      <c r="F1483" s="10" t="n">
        <v>10347</v>
      </c>
      <c r="G1483" s="11" t="inlineStr">
        <is>
          <t>Dorshona</t>
        </is>
      </c>
      <c r="H1483" s="10" t="n">
        <v>1851</v>
      </c>
      <c r="I1483" s="11" t="inlineStr">
        <is>
          <t>Md. Sohel Mahmud</t>
        </is>
      </c>
      <c r="J1483" s="10">
        <f>IF(K1483&gt;0, "Completed", "Pending")</f>
        <v/>
      </c>
      <c r="K1483" s="10">
        <f>COUNTIF('Survey Responses'!F:F, F1483)</f>
        <v/>
      </c>
    </row>
    <row r="1484">
      <c r="A1484" s="10" t="n">
        <v>1483</v>
      </c>
      <c r="B1484" s="11" t="inlineStr">
        <is>
          <t>Jashore (GEN-A)</t>
        </is>
      </c>
      <c r="C1484" s="11" t="inlineStr">
        <is>
          <t>Mr. Mahabubur Rahman</t>
        </is>
      </c>
      <c r="D1484" s="11" t="inlineStr">
        <is>
          <t>Chuadanga GEN-A-1</t>
        </is>
      </c>
      <c r="E1484" s="11" t="inlineStr">
        <is>
          <t>Mr. Bikash Chandra Guha</t>
        </is>
      </c>
      <c r="F1484" s="10" t="n">
        <v>10344</v>
      </c>
      <c r="G1484" s="11" t="inlineStr">
        <is>
          <t>JibonNagar-1</t>
        </is>
      </c>
      <c r="H1484" s="10" t="n">
        <v>8749</v>
      </c>
      <c r="I1484" s="11" t="inlineStr">
        <is>
          <t>Mr. Md. Abdul Halim</t>
        </is>
      </c>
      <c r="J1484" s="10">
        <f>IF(K1484&gt;0, "Completed", "Pending")</f>
        <v/>
      </c>
      <c r="K1484" s="10">
        <f>COUNTIF('Survey Responses'!F:F, F1484)</f>
        <v/>
      </c>
    </row>
    <row r="1485">
      <c r="A1485" s="10" t="n">
        <v>1484</v>
      </c>
      <c r="B1485" s="11" t="inlineStr">
        <is>
          <t>Jashore (GEN-A)</t>
        </is>
      </c>
      <c r="C1485" s="11" t="inlineStr">
        <is>
          <t>Mr. Mahabubur Rahman</t>
        </is>
      </c>
      <c r="D1485" s="11" t="inlineStr">
        <is>
          <t>Chuadanga GEN-A-1</t>
        </is>
      </c>
      <c r="E1485" s="11" t="inlineStr">
        <is>
          <t>Mr. Bikash Chandra Guha</t>
        </is>
      </c>
      <c r="F1485" s="10" t="n">
        <v>12937</v>
      </c>
      <c r="G1485" s="11" t="inlineStr">
        <is>
          <t>JibonNagar-2</t>
        </is>
      </c>
      <c r="H1485" s="10" t="n">
        <v>5146</v>
      </c>
      <c r="I1485" s="11" t="inlineStr">
        <is>
          <t>Mr. Md. Anisur Rahman</t>
        </is>
      </c>
      <c r="J1485" s="10">
        <f>IF(K1485&gt;0, "Completed", "Pending")</f>
        <v/>
      </c>
      <c r="K1485" s="10">
        <f>COUNTIF('Survey Responses'!F:F, F1485)</f>
        <v/>
      </c>
    </row>
    <row r="1486">
      <c r="A1486" s="10" t="n">
        <v>1485</v>
      </c>
      <c r="B1486" s="11" t="inlineStr">
        <is>
          <t>Jashore (GEN-A)</t>
        </is>
      </c>
      <c r="C1486" s="11" t="inlineStr">
        <is>
          <t>Mr. Mahabubur Rahman</t>
        </is>
      </c>
      <c r="D1486" s="11" t="inlineStr">
        <is>
          <t>Chuadanga GEN-A-1</t>
        </is>
      </c>
      <c r="E1486" s="11" t="inlineStr">
        <is>
          <t>Mr. Bikash Chandra Guha</t>
        </is>
      </c>
      <c r="F1486" s="10" t="n">
        <v>12594</v>
      </c>
      <c r="G1486" s="11" t="inlineStr">
        <is>
          <t>Sarojgonj-1</t>
        </is>
      </c>
      <c r="H1486" s="10" t="n">
        <v>4044</v>
      </c>
      <c r="I1486" s="11" t="inlineStr">
        <is>
          <t>Md. Sohel Rana</t>
        </is>
      </c>
      <c r="J1486" s="10">
        <f>IF(K1486&gt;0, "Completed", "Pending")</f>
        <v/>
      </c>
      <c r="K1486" s="10">
        <f>COUNTIF('Survey Responses'!F:F, F1486)</f>
        <v/>
      </c>
    </row>
    <row r="1487">
      <c r="A1487" s="10" t="n">
        <v>1486</v>
      </c>
      <c r="B1487" s="11" t="inlineStr">
        <is>
          <t>Jashore (GEN-A)</t>
        </is>
      </c>
      <c r="C1487" s="11" t="inlineStr">
        <is>
          <t>Mr. Mahabubur Rahman</t>
        </is>
      </c>
      <c r="D1487" s="11" t="inlineStr">
        <is>
          <t>Jashore GEN-A-1</t>
        </is>
      </c>
      <c r="E1487" s="11" t="inlineStr">
        <is>
          <t>Mr. Shamiul Bhuian</t>
        </is>
      </c>
      <c r="F1487" s="10" t="n">
        <v>14649</v>
      </c>
      <c r="G1487" s="11" t="inlineStr">
        <is>
          <t>Benapole-1</t>
        </is>
      </c>
      <c r="H1487" s="10" t="n">
        <v>8309</v>
      </c>
      <c r="I1487" s="11" t="inlineStr">
        <is>
          <t>Mr. Md. Raqibul Islam</t>
        </is>
      </c>
      <c r="J1487" s="10">
        <f>IF(K1487&gt;0, "Completed", "Pending")</f>
        <v/>
      </c>
      <c r="K1487" s="10">
        <f>COUNTIF('Survey Responses'!F:F, F1487)</f>
        <v/>
      </c>
    </row>
    <row r="1488">
      <c r="A1488" s="10" t="n">
        <v>1487</v>
      </c>
      <c r="B1488" s="11" t="inlineStr">
        <is>
          <t>Jashore (GEN-A)</t>
        </is>
      </c>
      <c r="C1488" s="11" t="inlineStr">
        <is>
          <t>Mr. Mahabubur Rahman</t>
        </is>
      </c>
      <c r="D1488" s="11" t="inlineStr">
        <is>
          <t>Jashore GEN-A-1</t>
        </is>
      </c>
      <c r="E1488" s="11" t="inlineStr">
        <is>
          <t>Mr. Shamiul Bhuian</t>
        </is>
      </c>
      <c r="F1488" s="10" t="n">
        <v>10319</v>
      </c>
      <c r="G1488" s="11" t="inlineStr">
        <is>
          <t>Jashore-1</t>
        </is>
      </c>
      <c r="H1488" s="10" t="n">
        <v>1215</v>
      </c>
      <c r="I1488" s="11" t="inlineStr">
        <is>
          <t>Md. Masum Siddiquee</t>
        </is>
      </c>
      <c r="J1488" s="10">
        <f>IF(K1488&gt;0, "Completed", "Pending")</f>
        <v/>
      </c>
      <c r="K1488" s="10">
        <f>COUNTIF('Survey Responses'!F:F, F1488)</f>
        <v/>
      </c>
    </row>
    <row r="1489">
      <c r="A1489" s="10" t="n">
        <v>1488</v>
      </c>
      <c r="B1489" s="11" t="inlineStr">
        <is>
          <t>Jashore (GEN-A)</t>
        </is>
      </c>
      <c r="C1489" s="11" t="inlineStr">
        <is>
          <t>Mr. Mahabubur Rahman</t>
        </is>
      </c>
      <c r="D1489" s="11" t="inlineStr">
        <is>
          <t>Jashore GEN-A-1</t>
        </is>
      </c>
      <c r="E1489" s="11" t="inlineStr">
        <is>
          <t>Mr. Shamiul Bhuian</t>
        </is>
      </c>
      <c r="F1489" s="10" t="n">
        <v>10318</v>
      </c>
      <c r="G1489" s="11" t="inlineStr">
        <is>
          <t>Jashore-2</t>
        </is>
      </c>
      <c r="H1489" s="10" t="n">
        <v>6550</v>
      </c>
      <c r="I1489" s="11" t="inlineStr">
        <is>
          <t>Mr. Md. Al-Amin</t>
        </is>
      </c>
      <c r="J1489" s="10">
        <f>IF(K1489&gt;0, "Completed", "Pending")</f>
        <v/>
      </c>
      <c r="K1489" s="10">
        <f>COUNTIF('Survey Responses'!F:F, F1489)</f>
        <v/>
      </c>
    </row>
    <row r="1490">
      <c r="A1490" s="10" t="n">
        <v>1489</v>
      </c>
      <c r="B1490" s="11" t="inlineStr">
        <is>
          <t>Jashore (GEN-A)</t>
        </is>
      </c>
      <c r="C1490" s="11" t="inlineStr">
        <is>
          <t>Mr. Mahabubur Rahman</t>
        </is>
      </c>
      <c r="D1490" s="11" t="inlineStr">
        <is>
          <t>Jashore GEN-A-1</t>
        </is>
      </c>
      <c r="E1490" s="11" t="inlineStr">
        <is>
          <t>Mr. Shamiul Bhuian</t>
        </is>
      </c>
      <c r="F1490" s="10" t="n">
        <v>13234</v>
      </c>
      <c r="G1490" s="11" t="inlineStr">
        <is>
          <t>Jashore-9</t>
        </is>
      </c>
      <c r="H1490" s="10" t="n">
        <v>5872</v>
      </c>
      <c r="I1490" s="11" t="inlineStr">
        <is>
          <t>Mr. Md. Saddam Hossain</t>
        </is>
      </c>
      <c r="J1490" s="10">
        <f>IF(K1490&gt;0, "Completed", "Pending")</f>
        <v/>
      </c>
      <c r="K1490" s="10">
        <f>COUNTIF('Survey Responses'!F:F, F1490)</f>
        <v/>
      </c>
    </row>
    <row r="1491">
      <c r="A1491" s="10" t="n">
        <v>1490</v>
      </c>
      <c r="B1491" s="11" t="inlineStr">
        <is>
          <t>Jashore (GEN-A)</t>
        </is>
      </c>
      <c r="C1491" s="11" t="inlineStr">
        <is>
          <t>Mr. Mahabubur Rahman</t>
        </is>
      </c>
      <c r="D1491" s="11" t="inlineStr">
        <is>
          <t>Jashore GEN-A-1</t>
        </is>
      </c>
      <c r="E1491" s="11" t="inlineStr">
        <is>
          <t>Mr. Shamiul Bhuian</t>
        </is>
      </c>
      <c r="F1491" s="10" t="n">
        <v>10323</v>
      </c>
      <c r="G1491" s="11" t="inlineStr">
        <is>
          <t>Jhikorgacha-1</t>
        </is>
      </c>
      <c r="H1491" s="10" t="n">
        <v>1918</v>
      </c>
      <c r="I1491" s="11" t="inlineStr">
        <is>
          <t>Md. Abdur Razzak</t>
        </is>
      </c>
      <c r="J1491" s="10">
        <f>IF(K1491&gt;0, "Completed", "Pending")</f>
        <v/>
      </c>
      <c r="K1491" s="10">
        <f>COUNTIF('Survey Responses'!F:F, F1491)</f>
        <v/>
      </c>
    </row>
    <row r="1492">
      <c r="A1492" s="10" t="n">
        <v>1491</v>
      </c>
      <c r="B1492" s="11" t="inlineStr">
        <is>
          <t>Jashore (GEN-A)</t>
        </is>
      </c>
      <c r="C1492" s="11" t="inlineStr">
        <is>
          <t>Mr. Mahabubur Rahman</t>
        </is>
      </c>
      <c r="D1492" s="11" t="inlineStr">
        <is>
          <t>Jashore GEN-A-1</t>
        </is>
      </c>
      <c r="E1492" s="11" t="inlineStr">
        <is>
          <t>Mr. Shamiul Bhuian</t>
        </is>
      </c>
      <c r="F1492" s="10" t="n">
        <v>12533</v>
      </c>
      <c r="G1492" s="11" t="inlineStr">
        <is>
          <t>Jhikorgacha-2</t>
        </is>
      </c>
      <c r="H1492" s="10" t="n">
        <v>3987</v>
      </c>
      <c r="I1492" s="11" t="inlineStr">
        <is>
          <t>Mr. Md. Nazmul Haque</t>
        </is>
      </c>
      <c r="J1492" s="10">
        <f>IF(K1492&gt;0, "Completed", "Pending")</f>
        <v/>
      </c>
      <c r="K1492" s="10">
        <f>COUNTIF('Survey Responses'!F:F, F1492)</f>
        <v/>
      </c>
    </row>
    <row r="1493">
      <c r="A1493" s="10" t="n">
        <v>1492</v>
      </c>
      <c r="B1493" s="11" t="inlineStr">
        <is>
          <t>Jashore (GEN-A)</t>
        </is>
      </c>
      <c r="C1493" s="11" t="inlineStr">
        <is>
          <t>Mr. Mahabubur Rahman</t>
        </is>
      </c>
      <c r="D1493" s="11" t="inlineStr">
        <is>
          <t>Jashore GEN-A-1</t>
        </is>
      </c>
      <c r="E1493" s="11" t="inlineStr">
        <is>
          <t>Mr. Shamiul Bhuian</t>
        </is>
      </c>
      <c r="F1493" s="10" t="n">
        <v>10326</v>
      </c>
      <c r="G1493" s="11" t="inlineStr">
        <is>
          <t>Navaron</t>
        </is>
      </c>
      <c r="H1493" s="10" t="n">
        <v>1338</v>
      </c>
      <c r="I1493" s="11" t="inlineStr">
        <is>
          <t>Md. Nurul Islam</t>
        </is>
      </c>
      <c r="J1493" s="10">
        <f>IF(K1493&gt;0, "Completed", "Pending")</f>
        <v/>
      </c>
      <c r="K1493" s="10">
        <f>COUNTIF('Survey Responses'!F:F, F1493)</f>
        <v/>
      </c>
    </row>
    <row r="1494">
      <c r="A1494" s="10" t="n">
        <v>1493</v>
      </c>
      <c r="B1494" s="11" t="inlineStr">
        <is>
          <t>Jashore (GEN-A)</t>
        </is>
      </c>
      <c r="C1494" s="11" t="inlineStr">
        <is>
          <t>Mr. Mahabubur Rahman</t>
        </is>
      </c>
      <c r="D1494" s="11" t="inlineStr">
        <is>
          <t>Jashore GEN-A-2</t>
        </is>
      </c>
      <c r="E1494" s="11" t="inlineStr">
        <is>
          <t>Mr. Md. Nurul Alam Repon</t>
        </is>
      </c>
      <c r="F1494" s="10" t="n">
        <v>10325</v>
      </c>
      <c r="G1494" s="11" t="inlineStr">
        <is>
          <t>Jashore-5</t>
        </is>
      </c>
      <c r="H1494" s="10" t="n">
        <v>8643</v>
      </c>
      <c r="I1494" s="11" t="inlineStr">
        <is>
          <t>Mr. Md. Jabed Hossen</t>
        </is>
      </c>
      <c r="J1494" s="10">
        <f>IF(K1494&gt;0, "Completed", "Pending")</f>
        <v/>
      </c>
      <c r="K1494" s="10">
        <f>COUNTIF('Survey Responses'!F:F, F1494)</f>
        <v/>
      </c>
    </row>
    <row r="1495">
      <c r="A1495" s="10" t="n">
        <v>1494</v>
      </c>
      <c r="B1495" s="11" t="inlineStr">
        <is>
          <t>Jashore (GEN-A)</t>
        </is>
      </c>
      <c r="C1495" s="11" t="inlineStr">
        <is>
          <t>Mr. Mahabubur Rahman</t>
        </is>
      </c>
      <c r="D1495" s="11" t="inlineStr">
        <is>
          <t>Jashore GEN-A-2</t>
        </is>
      </c>
      <c r="E1495" s="11" t="inlineStr">
        <is>
          <t>Mr. Md. Nurul Alam Repon</t>
        </is>
      </c>
      <c r="F1495" s="10" t="n">
        <v>10328</v>
      </c>
      <c r="G1495" s="11" t="inlineStr">
        <is>
          <t>Jashore-7</t>
        </is>
      </c>
      <c r="H1495" s="10" t="n">
        <v>5042</v>
      </c>
      <c r="I1495" s="11" t="inlineStr">
        <is>
          <t>Mr. Md. Ismail Hossain Nayan</t>
        </is>
      </c>
      <c r="J1495" s="10">
        <f>IF(K1495&gt;0, "Completed", "Pending")</f>
        <v/>
      </c>
      <c r="K1495" s="10">
        <f>COUNTIF('Survey Responses'!F:F, F1495)</f>
        <v/>
      </c>
    </row>
    <row r="1496">
      <c r="A1496" s="10" t="n">
        <v>1495</v>
      </c>
      <c r="B1496" s="11" t="inlineStr">
        <is>
          <t>Jashore (GEN-A)</t>
        </is>
      </c>
      <c r="C1496" s="11" t="inlineStr">
        <is>
          <t>Mr. Mahabubur Rahman</t>
        </is>
      </c>
      <c r="D1496" s="11" t="inlineStr">
        <is>
          <t>Jashore GEN-A-2</t>
        </is>
      </c>
      <c r="E1496" s="11" t="inlineStr">
        <is>
          <t>Mr. Md. Nurul Alam Repon</t>
        </is>
      </c>
      <c r="F1496" s="10" t="n">
        <v>12279</v>
      </c>
      <c r="G1496" s="11" t="inlineStr">
        <is>
          <t>Jashore-8</t>
        </is>
      </c>
      <c r="H1496" s="10" t="n">
        <v>5043</v>
      </c>
      <c r="I1496" s="11" t="inlineStr">
        <is>
          <t>Mr. Md. Anarul Islam</t>
        </is>
      </c>
      <c r="J1496" s="10">
        <f>IF(K1496&gt;0, "Completed", "Pending")</f>
        <v/>
      </c>
      <c r="K1496" s="10">
        <f>COUNTIF('Survey Responses'!F:F, F1496)</f>
        <v/>
      </c>
    </row>
    <row r="1497">
      <c r="A1497" s="10" t="n">
        <v>1496</v>
      </c>
      <c r="B1497" s="11" t="inlineStr">
        <is>
          <t>Jashore (GEN-A)</t>
        </is>
      </c>
      <c r="C1497" s="11" t="inlineStr">
        <is>
          <t>Mr. Mahabubur Rahman</t>
        </is>
      </c>
      <c r="D1497" s="11" t="inlineStr">
        <is>
          <t>Jashore GEN-A-2</t>
        </is>
      </c>
      <c r="E1497" s="11" t="inlineStr">
        <is>
          <t>Mr. Md. Nurul Alam Repon</t>
        </is>
      </c>
      <c r="F1497" s="10" t="n">
        <v>10324</v>
      </c>
      <c r="G1497" s="11" t="inlineStr">
        <is>
          <t>Keshobpur-1</t>
        </is>
      </c>
      <c r="H1497" s="10" t="n">
        <v>8941</v>
      </c>
      <c r="I1497" s="11" t="inlineStr">
        <is>
          <t>Mr. Md. Shohan Mia</t>
        </is>
      </c>
      <c r="J1497" s="10">
        <f>IF(K1497&gt;0, "Completed", "Pending")</f>
        <v/>
      </c>
      <c r="K1497" s="10">
        <f>COUNTIF('Survey Responses'!F:F, F1497)</f>
        <v/>
      </c>
    </row>
    <row r="1498">
      <c r="A1498" s="10" t="n">
        <v>1497</v>
      </c>
      <c r="B1498" s="11" t="inlineStr">
        <is>
          <t>Jashore (GEN-A)</t>
        </is>
      </c>
      <c r="C1498" s="11" t="inlineStr">
        <is>
          <t>Mr. Mahabubur Rahman</t>
        </is>
      </c>
      <c r="D1498" s="11" t="inlineStr">
        <is>
          <t>Jashore GEN-A-2</t>
        </is>
      </c>
      <c r="E1498" s="11" t="inlineStr">
        <is>
          <t>Mr. Md. Nurul Alam Repon</t>
        </is>
      </c>
      <c r="F1498" s="10" t="n">
        <v>12884</v>
      </c>
      <c r="G1498" s="11" t="inlineStr">
        <is>
          <t>Keshobpur-2</t>
        </is>
      </c>
      <c r="H1498" s="10" t="n">
        <v>2410</v>
      </c>
      <c r="I1498" s="11" t="inlineStr">
        <is>
          <t>Md. Kamruzzaman</t>
        </is>
      </c>
      <c r="J1498" s="10">
        <f>IF(K1498&gt;0, "Completed", "Pending")</f>
        <v/>
      </c>
      <c r="K1498" s="10">
        <f>COUNTIF('Survey Responses'!F:F, F1498)</f>
        <v/>
      </c>
    </row>
    <row r="1499">
      <c r="A1499" s="10" t="n">
        <v>1498</v>
      </c>
      <c r="B1499" s="11" t="inlineStr">
        <is>
          <t>Jashore (GEN-A)</t>
        </is>
      </c>
      <c r="C1499" s="11" t="inlineStr">
        <is>
          <t>Mr. Mahabubur Rahman</t>
        </is>
      </c>
      <c r="D1499" s="11" t="inlineStr">
        <is>
          <t>Jashore GEN-A-2</t>
        </is>
      </c>
      <c r="E1499" s="11" t="inlineStr">
        <is>
          <t>Mr. Md. Nurul Alam Repon</t>
        </is>
      </c>
      <c r="F1499" s="10" t="n">
        <v>10329</v>
      </c>
      <c r="G1499" s="11" t="inlineStr">
        <is>
          <t>Monirumpur</t>
        </is>
      </c>
      <c r="H1499" s="10" t="n">
        <v>1824</v>
      </c>
      <c r="I1499" s="11" t="inlineStr">
        <is>
          <t>Md. Ashraful Haque</t>
        </is>
      </c>
      <c r="J1499" s="10">
        <f>IF(K1499&gt;0, "Completed", "Pending")</f>
        <v/>
      </c>
      <c r="K1499" s="10">
        <f>COUNTIF('Survey Responses'!F:F, F1499)</f>
        <v/>
      </c>
    </row>
    <row r="1500">
      <c r="A1500" s="10" t="n">
        <v>1499</v>
      </c>
      <c r="B1500" s="11" t="inlineStr">
        <is>
          <t>Jashore (GEN-A)</t>
        </is>
      </c>
      <c r="C1500" s="11" t="inlineStr">
        <is>
          <t>Mr. Mahabubur Rahman</t>
        </is>
      </c>
      <c r="D1500" s="11" t="inlineStr">
        <is>
          <t>Jashore GEN-A-2</t>
        </is>
      </c>
      <c r="E1500" s="11" t="inlineStr">
        <is>
          <t>Mr. Md. Nurul Alam Repon</t>
        </is>
      </c>
      <c r="F1500" s="10" t="n">
        <v>14560</v>
      </c>
      <c r="G1500" s="11" t="inlineStr">
        <is>
          <t>Monirumpur-2</t>
        </is>
      </c>
      <c r="H1500" s="10" t="n">
        <v>4175</v>
      </c>
      <c r="I1500" s="11" t="inlineStr">
        <is>
          <t>Mr. Md. Muktadir Hossain Roni</t>
        </is>
      </c>
      <c r="J1500" s="10">
        <f>IF(K1500&gt;0, "Completed", "Pending")</f>
        <v/>
      </c>
      <c r="K1500" s="10">
        <f>COUNTIF('Survey Responses'!F:F, F1500)</f>
        <v/>
      </c>
    </row>
    <row r="1501">
      <c r="A1501" s="10" t="n">
        <v>1500</v>
      </c>
      <c r="B1501" s="11" t="inlineStr">
        <is>
          <t>Jashore (GEN-A)</t>
        </is>
      </c>
      <c r="C1501" s="11" t="inlineStr">
        <is>
          <t>Mr. Mahabubur Rahman</t>
        </is>
      </c>
      <c r="D1501" s="11" t="inlineStr">
        <is>
          <t>Jashore GEN-A-3</t>
        </is>
      </c>
      <c r="E1501" s="11" t="inlineStr">
        <is>
          <t>Md. Mizanur Rahman</t>
        </is>
      </c>
      <c r="F1501" s="10" t="n">
        <v>10335</v>
      </c>
      <c r="G1501" s="11" t="inlineStr">
        <is>
          <t>Chowgasa</t>
        </is>
      </c>
      <c r="H1501" s="10" t="n">
        <v>1308</v>
      </c>
      <c r="I1501" s="11" t="inlineStr">
        <is>
          <t>Ataur Rahman</t>
        </is>
      </c>
      <c r="J1501" s="10">
        <f>IF(K1501&gt;0, "Completed", "Pending")</f>
        <v/>
      </c>
      <c r="K1501" s="10">
        <f>COUNTIF('Survey Responses'!F:F, F1501)</f>
        <v/>
      </c>
    </row>
    <row r="1502">
      <c r="A1502" s="10" t="n">
        <v>1501</v>
      </c>
      <c r="B1502" s="11" t="inlineStr">
        <is>
          <t>Jashore (GEN-A)</t>
        </is>
      </c>
      <c r="C1502" s="11" t="inlineStr">
        <is>
          <t>Mr. Mahabubur Rahman</t>
        </is>
      </c>
      <c r="D1502" s="11" t="inlineStr">
        <is>
          <t>Jashore GEN-A-3</t>
        </is>
      </c>
      <c r="E1502" s="11" t="inlineStr">
        <is>
          <t>Md. Mizanur Rahman</t>
        </is>
      </c>
      <c r="F1502" s="10" t="n">
        <v>10316</v>
      </c>
      <c r="G1502" s="11" t="inlineStr">
        <is>
          <t>Jashore-3</t>
        </is>
      </c>
      <c r="H1502" s="10" t="n">
        <v>2858</v>
      </c>
      <c r="I1502" s="11" t="inlineStr">
        <is>
          <t>Md. Abdus Salam</t>
        </is>
      </c>
      <c r="J1502" s="10">
        <f>IF(K1502&gt;0, "Completed", "Pending")</f>
        <v/>
      </c>
      <c r="K1502" s="10">
        <f>COUNTIF('Survey Responses'!F:F, F1502)</f>
        <v/>
      </c>
    </row>
    <row r="1503">
      <c r="A1503" s="10" t="n">
        <v>1502</v>
      </c>
      <c r="B1503" s="11" t="inlineStr">
        <is>
          <t>Jashore (GEN-A)</t>
        </is>
      </c>
      <c r="C1503" s="11" t="inlineStr">
        <is>
          <t>Mr. Mahabubur Rahman</t>
        </is>
      </c>
      <c r="D1503" s="11" t="inlineStr">
        <is>
          <t>Jashore GEN-A-3</t>
        </is>
      </c>
      <c r="E1503" s="11" t="inlineStr">
        <is>
          <t>Md. Mizanur Rahman</t>
        </is>
      </c>
      <c r="F1503" s="10" t="n">
        <v>10327</v>
      </c>
      <c r="G1503" s="11" t="inlineStr">
        <is>
          <t>Jashore-4</t>
        </is>
      </c>
      <c r="H1503" s="10" t="n">
        <v>7462</v>
      </c>
      <c r="I1503" s="11" t="inlineStr">
        <is>
          <t>Mr. Manik Chandra Das</t>
        </is>
      </c>
      <c r="J1503" s="10">
        <f>IF(K1503&gt;0, "Completed", "Pending")</f>
        <v/>
      </c>
      <c r="K1503" s="10">
        <f>COUNTIF('Survey Responses'!F:F, F1503)</f>
        <v/>
      </c>
    </row>
    <row r="1504">
      <c r="A1504" s="10" t="n">
        <v>1503</v>
      </c>
      <c r="B1504" s="11" t="inlineStr">
        <is>
          <t>Jashore (GEN-A)</t>
        </is>
      </c>
      <c r="C1504" s="11" t="inlineStr">
        <is>
          <t>Mr. Mahabubur Rahman</t>
        </is>
      </c>
      <c r="D1504" s="11" t="inlineStr">
        <is>
          <t>Jashore GEN-A-3</t>
        </is>
      </c>
      <c r="E1504" s="11" t="inlineStr">
        <is>
          <t>Md. Mizanur Rahman</t>
        </is>
      </c>
      <c r="F1504" s="10" t="n">
        <v>10321</v>
      </c>
      <c r="G1504" s="11" t="inlineStr">
        <is>
          <t>Jashore-6</t>
        </is>
      </c>
      <c r="H1504" s="10" t="n">
        <v>5296</v>
      </c>
      <c r="I1504" s="11" t="inlineStr">
        <is>
          <t>Mr. Md. Abdur Rakib</t>
        </is>
      </c>
      <c r="J1504" s="10">
        <f>IF(K1504&gt;0, "Completed", "Pending")</f>
        <v/>
      </c>
      <c r="K1504" s="10">
        <f>COUNTIF('Survey Responses'!F:F, F1504)</f>
        <v/>
      </c>
    </row>
    <row r="1505">
      <c r="A1505" s="10" t="n">
        <v>1504</v>
      </c>
      <c r="B1505" s="11" t="inlineStr">
        <is>
          <t>Jashore (GEN-A)</t>
        </is>
      </c>
      <c r="C1505" s="11" t="inlineStr">
        <is>
          <t>Mr. Mahabubur Rahman</t>
        </is>
      </c>
      <c r="D1505" s="11" t="inlineStr">
        <is>
          <t>Jashore GEN-A-3</t>
        </is>
      </c>
      <c r="E1505" s="11" t="inlineStr">
        <is>
          <t>Md. Mizanur Rahman</t>
        </is>
      </c>
      <c r="F1505" s="10" t="n">
        <v>10331</v>
      </c>
      <c r="G1505" s="11" t="inlineStr">
        <is>
          <t>Kaliganj-1 (Jhenidah)</t>
        </is>
      </c>
      <c r="H1505" s="10" t="n">
        <v>1526</v>
      </c>
      <c r="I1505" s="11" t="inlineStr">
        <is>
          <t>Md. Al-Amin Miah</t>
        </is>
      </c>
      <c r="J1505" s="10">
        <f>IF(K1505&gt;0, "Completed", "Pending")</f>
        <v/>
      </c>
      <c r="K1505" s="10">
        <f>COUNTIF('Survey Responses'!F:F, F1505)</f>
        <v/>
      </c>
    </row>
    <row r="1506">
      <c r="A1506" s="10" t="n">
        <v>1505</v>
      </c>
      <c r="B1506" s="11" t="inlineStr">
        <is>
          <t>Jashore (GEN-A)</t>
        </is>
      </c>
      <c r="C1506" s="11" t="inlineStr">
        <is>
          <t>Mr. Mahabubur Rahman</t>
        </is>
      </c>
      <c r="D1506" s="11" t="inlineStr">
        <is>
          <t>Jashore GEN-A-3</t>
        </is>
      </c>
      <c r="E1506" s="11" t="inlineStr">
        <is>
          <t>Md. Mizanur Rahman</t>
        </is>
      </c>
      <c r="F1506" s="10" t="n">
        <v>10332</v>
      </c>
      <c r="G1506" s="11" t="inlineStr">
        <is>
          <t>Kaliganj-2 (Jhenidah)</t>
        </is>
      </c>
      <c r="H1506" s="10" t="n">
        <v>1748</v>
      </c>
      <c r="I1506" s="11" t="inlineStr">
        <is>
          <t>Nitya Gopal Mandal</t>
        </is>
      </c>
      <c r="J1506" s="10">
        <f>IF(K1506&gt;0, "Completed", "Pending")</f>
        <v/>
      </c>
      <c r="K1506" s="10">
        <f>COUNTIF('Survey Responses'!F:F, F1506)</f>
        <v/>
      </c>
    </row>
    <row r="1507">
      <c r="A1507" s="10" t="n">
        <v>1506</v>
      </c>
      <c r="B1507" s="11" t="inlineStr">
        <is>
          <t>Jashore (GEN-A)</t>
        </is>
      </c>
      <c r="C1507" s="11" t="inlineStr">
        <is>
          <t>Mr. Mahabubur Rahman</t>
        </is>
      </c>
      <c r="D1507" s="11" t="inlineStr">
        <is>
          <t>Jashore GEN-A-3</t>
        </is>
      </c>
      <c r="E1507" s="11" t="inlineStr">
        <is>
          <t>Md. Mizanur Rahman</t>
        </is>
      </c>
      <c r="F1507" s="10" t="n">
        <v>11812</v>
      </c>
      <c r="G1507" s="11" t="inlineStr">
        <is>
          <t>Moheshpur-1</t>
        </is>
      </c>
      <c r="H1507" s="10" t="n">
        <v>2797</v>
      </c>
      <c r="I1507" s="11" t="inlineStr">
        <is>
          <t>Sohidul Islam</t>
        </is>
      </c>
      <c r="J1507" s="10">
        <f>IF(K1507&gt;0, "Completed", "Pending")</f>
        <v/>
      </c>
      <c r="K1507" s="10">
        <f>COUNTIF('Survey Responses'!F:F, F1507)</f>
        <v/>
      </c>
    </row>
    <row r="1508">
      <c r="A1508" s="10" t="n">
        <v>1507</v>
      </c>
      <c r="B1508" s="11" t="inlineStr">
        <is>
          <t>Jashore (GEN-A)</t>
        </is>
      </c>
      <c r="C1508" s="11" t="inlineStr">
        <is>
          <t>Mr. Mahabubur Rahman</t>
        </is>
      </c>
      <c r="D1508" s="11" t="inlineStr">
        <is>
          <t>Jhenidah GEN-A-1</t>
        </is>
      </c>
      <c r="E1508" s="11" t="inlineStr">
        <is>
          <t>Md. Asaduzzaman</t>
        </is>
      </c>
      <c r="F1508" s="10" t="n">
        <v>12943</v>
      </c>
      <c r="G1508" s="11" t="inlineStr">
        <is>
          <t>Harinakundu-1</t>
        </is>
      </c>
      <c r="H1508" s="10" t="n">
        <v>5195</v>
      </c>
      <c r="I1508" s="11" t="inlineStr">
        <is>
          <t>Mr. Atekur Rahman</t>
        </is>
      </c>
      <c r="J1508" s="10">
        <f>IF(K1508&gt;0, "Completed", "Pending")</f>
        <v/>
      </c>
      <c r="K1508" s="10">
        <f>COUNTIF('Survey Responses'!F:F, F1508)</f>
        <v/>
      </c>
    </row>
    <row r="1509">
      <c r="A1509" s="10" t="n">
        <v>1508</v>
      </c>
      <c r="B1509" s="11" t="inlineStr">
        <is>
          <t>Jashore (GEN-A)</t>
        </is>
      </c>
      <c r="C1509" s="11" t="inlineStr">
        <is>
          <t>Mr. Mahabubur Rahman</t>
        </is>
      </c>
      <c r="D1509" s="11" t="inlineStr">
        <is>
          <t>Jhenidah GEN-A-1</t>
        </is>
      </c>
      <c r="E1509" s="11" t="inlineStr">
        <is>
          <t>Md. Asaduzzaman</t>
        </is>
      </c>
      <c r="F1509" s="10" t="n">
        <v>10330</v>
      </c>
      <c r="G1509" s="11" t="inlineStr">
        <is>
          <t>Jhenidah-1</t>
        </is>
      </c>
      <c r="H1509" s="10" t="n">
        <v>2683</v>
      </c>
      <c r="I1509" s="11" t="inlineStr">
        <is>
          <t>Md. Rafsan Janee</t>
        </is>
      </c>
      <c r="J1509" s="10">
        <f>IF(K1509&gt;0, "Completed", "Pending")</f>
        <v/>
      </c>
      <c r="K1509" s="10">
        <f>COUNTIF('Survey Responses'!F:F, F1509)</f>
        <v/>
      </c>
    </row>
    <row r="1510">
      <c r="A1510" s="10" t="n">
        <v>1509</v>
      </c>
      <c r="B1510" s="11" t="inlineStr">
        <is>
          <t>Jashore (GEN-A)</t>
        </is>
      </c>
      <c r="C1510" s="11" t="inlineStr">
        <is>
          <t>Mr. Mahabubur Rahman</t>
        </is>
      </c>
      <c r="D1510" s="11" t="inlineStr">
        <is>
          <t>Jhenidah GEN-A-1</t>
        </is>
      </c>
      <c r="E1510" s="11" t="inlineStr">
        <is>
          <t>Md. Asaduzzaman</t>
        </is>
      </c>
      <c r="F1510" s="10" t="n">
        <v>10333</v>
      </c>
      <c r="G1510" s="11" t="inlineStr">
        <is>
          <t>Jhenidah-2</t>
        </is>
      </c>
      <c r="H1510" s="10" t="n">
        <v>5049</v>
      </c>
      <c r="I1510" s="11" t="inlineStr">
        <is>
          <t>Mr. Md. Emdadul Hoque</t>
        </is>
      </c>
      <c r="J1510" s="10">
        <f>IF(K1510&gt;0, "Completed", "Pending")</f>
        <v/>
      </c>
      <c r="K1510" s="10">
        <f>COUNTIF('Survey Responses'!F:F, F1510)</f>
        <v/>
      </c>
    </row>
    <row r="1511">
      <c r="A1511" s="10" t="n">
        <v>1510</v>
      </c>
      <c r="B1511" s="11" t="inlineStr">
        <is>
          <t>Jashore (GEN-A)</t>
        </is>
      </c>
      <c r="C1511" s="11" t="inlineStr">
        <is>
          <t>Mr. Mahabubur Rahman</t>
        </is>
      </c>
      <c r="D1511" s="11" t="inlineStr">
        <is>
          <t>Jhenidah GEN-A-1</t>
        </is>
      </c>
      <c r="E1511" s="11" t="inlineStr">
        <is>
          <t>Md. Asaduzzaman</t>
        </is>
      </c>
      <c r="F1511" s="10" t="n">
        <v>10334</v>
      </c>
      <c r="G1511" s="11" t="inlineStr">
        <is>
          <t>Jhenidah-3</t>
        </is>
      </c>
      <c r="H1511" s="10" t="n">
        <v>1726</v>
      </c>
      <c r="I1511" s="11" t="inlineStr">
        <is>
          <t>Md. Abdus Sattar</t>
        </is>
      </c>
      <c r="J1511" s="10">
        <f>IF(K1511&gt;0, "Completed", "Pending")</f>
        <v/>
      </c>
      <c r="K1511" s="10">
        <f>COUNTIF('Survey Responses'!F:F, F1511)</f>
        <v/>
      </c>
    </row>
    <row r="1512">
      <c r="A1512" s="10" t="n">
        <v>1511</v>
      </c>
      <c r="B1512" s="11" t="inlineStr">
        <is>
          <t>Jashore (GEN-A)</t>
        </is>
      </c>
      <c r="C1512" s="11" t="inlineStr">
        <is>
          <t>Mr. Mahabubur Rahman</t>
        </is>
      </c>
      <c r="D1512" s="11" t="inlineStr">
        <is>
          <t>Jhenidah GEN-A-1</t>
        </is>
      </c>
      <c r="E1512" s="11" t="inlineStr">
        <is>
          <t>Md. Asaduzzaman</t>
        </is>
      </c>
      <c r="F1512" s="10" t="n">
        <v>12349</v>
      </c>
      <c r="G1512" s="11" t="inlineStr">
        <is>
          <t>Jhenidah-4</t>
        </is>
      </c>
      <c r="H1512" s="10" t="n">
        <v>6495</v>
      </c>
      <c r="I1512" s="11" t="inlineStr">
        <is>
          <t>Mr. Nayeem Ahmed</t>
        </is>
      </c>
      <c r="J1512" s="10">
        <f>IF(K1512&gt;0, "Completed", "Pending")</f>
        <v/>
      </c>
      <c r="K1512" s="10">
        <f>COUNTIF('Survey Responses'!F:F, F1512)</f>
        <v/>
      </c>
    </row>
    <row r="1513">
      <c r="A1513" s="10" t="n">
        <v>1512</v>
      </c>
      <c r="B1513" s="11" t="inlineStr">
        <is>
          <t>Jashore (GEN-A)</t>
        </is>
      </c>
      <c r="C1513" s="11" t="inlineStr">
        <is>
          <t>Mr. Mahabubur Rahman</t>
        </is>
      </c>
      <c r="D1513" s="11" t="inlineStr">
        <is>
          <t>Jhenidah GEN-A-1</t>
        </is>
      </c>
      <c r="E1513" s="11" t="inlineStr">
        <is>
          <t>Md. Asaduzzaman</t>
        </is>
      </c>
      <c r="F1513" s="10" t="n">
        <v>14848</v>
      </c>
      <c r="G1513" s="11" t="inlineStr">
        <is>
          <t>Jhenidah-5</t>
        </is>
      </c>
      <c r="H1513" s="10" t="n">
        <v>8940</v>
      </c>
      <c r="I1513" s="11" t="inlineStr">
        <is>
          <t>Mr. Omar Ahammed</t>
        </is>
      </c>
      <c r="J1513" s="10">
        <f>IF(K1513&gt;0, "Completed", "Pending")</f>
        <v/>
      </c>
      <c r="K1513" s="10">
        <f>COUNTIF('Survey Responses'!F:F, F1513)</f>
        <v/>
      </c>
    </row>
    <row r="1514">
      <c r="A1514" s="10" t="n">
        <v>1513</v>
      </c>
      <c r="B1514" s="11" t="inlineStr">
        <is>
          <t>Jashore (GEN-A)</t>
        </is>
      </c>
      <c r="C1514" s="11" t="inlineStr">
        <is>
          <t>Mr. Mahabubur Rahman</t>
        </is>
      </c>
      <c r="D1514" s="11" t="inlineStr">
        <is>
          <t>Jhenidah GEN-A-1</t>
        </is>
      </c>
      <c r="E1514" s="11" t="inlineStr">
        <is>
          <t>Md. Asaduzzaman</t>
        </is>
      </c>
      <c r="F1514" s="10" t="n">
        <v>14903</v>
      </c>
      <c r="G1514" s="11" t="inlineStr">
        <is>
          <t>Jhenidah-6</t>
        </is>
      </c>
      <c r="H1514" s="10" t="n">
        <v>9095</v>
      </c>
      <c r="I1514" s="11" t="inlineStr">
        <is>
          <t>Mr. Rakibul Hasan</t>
        </is>
      </c>
      <c r="J1514" s="10">
        <f>IF(K1514&gt;0, "Completed", "Pending")</f>
        <v/>
      </c>
      <c r="K1514" s="10">
        <f>COUNTIF('Survey Responses'!F:F, F1514)</f>
        <v/>
      </c>
    </row>
    <row r="1515">
      <c r="A1515" s="10" t="n">
        <v>1514</v>
      </c>
      <c r="B1515" s="11" t="inlineStr">
        <is>
          <t>Jashore (GEN-A)</t>
        </is>
      </c>
      <c r="C1515" s="11" t="inlineStr">
        <is>
          <t>Mr. Mahabubur Rahman</t>
        </is>
      </c>
      <c r="D1515" s="11" t="inlineStr">
        <is>
          <t>Jhenidah GEN-A-1</t>
        </is>
      </c>
      <c r="E1515" s="11" t="inlineStr">
        <is>
          <t>Md. Asaduzzaman</t>
        </is>
      </c>
      <c r="F1515" s="10" t="n">
        <v>10336</v>
      </c>
      <c r="G1515" s="11" t="inlineStr">
        <is>
          <t>Kotchandpur</t>
        </is>
      </c>
      <c r="H1515" s="10" t="n">
        <v>588</v>
      </c>
      <c r="I1515" s="11" t="inlineStr">
        <is>
          <t>Md. Ashraful Islam</t>
        </is>
      </c>
      <c r="J1515" s="10">
        <f>IF(K1515&gt;0, "Completed", "Pending")</f>
        <v/>
      </c>
      <c r="K1515" s="10">
        <f>COUNTIF('Survey Responses'!F:F, F1515)</f>
        <v/>
      </c>
    </row>
    <row r="1516">
      <c r="A1516" s="10" t="n">
        <v>1515</v>
      </c>
      <c r="B1516" s="11" t="inlineStr">
        <is>
          <t>Jashore (GEN-A)</t>
        </is>
      </c>
      <c r="C1516" s="11" t="inlineStr">
        <is>
          <t>Mr. Mahabubur Rahman</t>
        </is>
      </c>
      <c r="D1516" s="11" t="inlineStr">
        <is>
          <t>Magura GEN-A-1</t>
        </is>
      </c>
      <c r="E1516" s="11" t="inlineStr">
        <is>
          <t>Mr. Md. Faisal Kabir</t>
        </is>
      </c>
      <c r="F1516" s="10" t="n">
        <v>12944</v>
      </c>
      <c r="G1516" s="11" t="inlineStr">
        <is>
          <t>Arpara-1</t>
        </is>
      </c>
      <c r="H1516" s="10" t="n">
        <v>5196</v>
      </c>
      <c r="I1516" s="11" t="inlineStr">
        <is>
          <t>Mr. Md. Anowar Hossain</t>
        </is>
      </c>
      <c r="J1516" s="10">
        <f>IF(K1516&gt;0, "Completed", "Pending")</f>
        <v/>
      </c>
      <c r="K1516" s="10">
        <f>COUNTIF('Survey Responses'!F:F, F1516)</f>
        <v/>
      </c>
    </row>
    <row r="1517">
      <c r="A1517" s="10" t="n">
        <v>1516</v>
      </c>
      <c r="B1517" s="11" t="inlineStr">
        <is>
          <t>Jashore (GEN-A)</t>
        </is>
      </c>
      <c r="C1517" s="11" t="inlineStr">
        <is>
          <t>Mr. Mahabubur Rahman</t>
        </is>
      </c>
      <c r="D1517" s="11" t="inlineStr">
        <is>
          <t>Magura GEN-A-1</t>
        </is>
      </c>
      <c r="E1517" s="11" t="inlineStr">
        <is>
          <t>Mr. Md. Faisal Kabir</t>
        </is>
      </c>
      <c r="F1517" s="10" t="n">
        <v>10337</v>
      </c>
      <c r="G1517" s="11" t="inlineStr">
        <is>
          <t>Magura-1</t>
        </is>
      </c>
      <c r="H1517" s="10" t="n">
        <v>7509</v>
      </c>
      <c r="I1517" s="11" t="inlineStr">
        <is>
          <t>Mr. Chandon Kumar</t>
        </is>
      </c>
      <c r="J1517" s="10">
        <f>IF(K1517&gt;0, "Completed", "Pending")</f>
        <v/>
      </c>
      <c r="K1517" s="10">
        <f>COUNTIF('Survey Responses'!F:F, F1517)</f>
        <v/>
      </c>
    </row>
    <row r="1518">
      <c r="A1518" s="10" t="n">
        <v>1517</v>
      </c>
      <c r="B1518" s="11" t="inlineStr">
        <is>
          <t>Jashore (GEN-A)</t>
        </is>
      </c>
      <c r="C1518" s="11" t="inlineStr">
        <is>
          <t>Mr. Mahabubur Rahman</t>
        </is>
      </c>
      <c r="D1518" s="11" t="inlineStr">
        <is>
          <t>Magura GEN-A-1</t>
        </is>
      </c>
      <c r="E1518" s="11" t="inlineStr">
        <is>
          <t>Mr. Md. Faisal Kabir</t>
        </is>
      </c>
      <c r="F1518" s="10" t="n">
        <v>10338</v>
      </c>
      <c r="G1518" s="11" t="inlineStr">
        <is>
          <t>Magura-2</t>
        </is>
      </c>
      <c r="H1518" s="10" t="n">
        <v>903</v>
      </c>
      <c r="I1518" s="11" t="inlineStr">
        <is>
          <t>Shaikh Nazmul Haque</t>
        </is>
      </c>
      <c r="J1518" s="10">
        <f>IF(K1518&gt;0, "Completed", "Pending")</f>
        <v/>
      </c>
      <c r="K1518" s="10">
        <f>COUNTIF('Survey Responses'!F:F, F1518)</f>
        <v/>
      </c>
    </row>
    <row r="1519">
      <c r="A1519" s="10" t="n">
        <v>1518</v>
      </c>
      <c r="B1519" s="11" t="inlineStr">
        <is>
          <t>Jashore (GEN-A)</t>
        </is>
      </c>
      <c r="C1519" s="11" t="inlineStr">
        <is>
          <t>Mr. Mahabubur Rahman</t>
        </is>
      </c>
      <c r="D1519" s="11" t="inlineStr">
        <is>
          <t>Magura GEN-A-1</t>
        </is>
      </c>
      <c r="E1519" s="11" t="inlineStr">
        <is>
          <t>Mr. Md. Faisal Kabir</t>
        </is>
      </c>
      <c r="F1519" s="10" t="n">
        <v>11781</v>
      </c>
      <c r="G1519" s="11" t="inlineStr">
        <is>
          <t>Magura-3</t>
        </is>
      </c>
      <c r="H1519" s="10" t="n">
        <v>3106</v>
      </c>
      <c r="I1519" s="11" t="inlineStr">
        <is>
          <t>Md. Maidul Islam</t>
        </is>
      </c>
      <c r="J1519" s="10">
        <f>IF(K1519&gt;0, "Completed", "Pending")</f>
        <v/>
      </c>
      <c r="K1519" s="10">
        <f>COUNTIF('Survey Responses'!F:F, F1519)</f>
        <v/>
      </c>
    </row>
    <row r="1520">
      <c r="A1520" s="10" t="n">
        <v>1519</v>
      </c>
      <c r="B1520" s="11" t="inlineStr">
        <is>
          <t>Jashore (GEN-A)</t>
        </is>
      </c>
      <c r="C1520" s="11" t="inlineStr">
        <is>
          <t>Mr. Mahabubur Rahman</t>
        </is>
      </c>
      <c r="D1520" s="11" t="inlineStr">
        <is>
          <t>Magura GEN-A-1</t>
        </is>
      </c>
      <c r="E1520" s="11" t="inlineStr">
        <is>
          <t>Mr. Md. Faisal Kabir</t>
        </is>
      </c>
      <c r="F1520" s="10" t="n">
        <v>10340</v>
      </c>
      <c r="G1520" s="11" t="inlineStr">
        <is>
          <t>Soilakupa</t>
        </is>
      </c>
      <c r="H1520" s="10" t="n">
        <v>2477</v>
      </c>
      <c r="I1520" s="11" t="inlineStr">
        <is>
          <t>Md. Atiqur Rahman</t>
        </is>
      </c>
      <c r="J1520" s="10">
        <f>IF(K1520&gt;0, "Completed", "Pending")</f>
        <v/>
      </c>
      <c r="K1520" s="10">
        <f>COUNTIF('Survey Responses'!F:F, F1520)</f>
        <v/>
      </c>
    </row>
    <row r="1521">
      <c r="A1521" s="10" t="n">
        <v>1520</v>
      </c>
      <c r="B1521" s="11" t="inlineStr">
        <is>
          <t>Jashore (GEN-A)</t>
        </is>
      </c>
      <c r="C1521" s="11" t="inlineStr">
        <is>
          <t>Mr. Mahabubur Rahman</t>
        </is>
      </c>
      <c r="D1521" s="11" t="inlineStr">
        <is>
          <t>Magura GEN-A-1</t>
        </is>
      </c>
      <c r="E1521" s="11" t="inlineStr">
        <is>
          <t>Mr. Md. Faisal Kabir</t>
        </is>
      </c>
      <c r="F1521" s="10" t="n">
        <v>12683</v>
      </c>
      <c r="G1521" s="11" t="inlineStr">
        <is>
          <t>Soilakupa-2</t>
        </is>
      </c>
      <c r="H1521" s="10" t="n">
        <v>6382</v>
      </c>
      <c r="I1521" s="11" t="inlineStr">
        <is>
          <t>Mr. Md. Morshedul Islam Sarker</t>
        </is>
      </c>
      <c r="J1521" s="10">
        <f>IF(K1521&gt;0, "Completed", "Pending")</f>
        <v/>
      </c>
      <c r="K1521" s="10">
        <f>COUNTIF('Survey Responses'!F:F, F1521)</f>
        <v/>
      </c>
    </row>
    <row r="1522">
      <c r="A1522" s="10" t="n">
        <v>1521</v>
      </c>
      <c r="B1522" s="11" t="inlineStr">
        <is>
          <t>Jashore (GEN-A)</t>
        </is>
      </c>
      <c r="C1522" s="11" t="inlineStr">
        <is>
          <t>Mr. Mahabubur Rahman</t>
        </is>
      </c>
      <c r="D1522" s="11" t="inlineStr">
        <is>
          <t>Magura GEN-A-1</t>
        </is>
      </c>
      <c r="E1522" s="11" t="inlineStr">
        <is>
          <t>Mr. Md. Faisal Kabir</t>
        </is>
      </c>
      <c r="F1522" s="10" t="n">
        <v>12197</v>
      </c>
      <c r="G1522" s="11" t="inlineStr">
        <is>
          <t>Sreepur (Magura)-1</t>
        </is>
      </c>
      <c r="H1522" s="10" t="n">
        <v>3613</v>
      </c>
      <c r="I1522" s="11" t="inlineStr">
        <is>
          <t>Mr. Md. Mahbubur Rahman</t>
        </is>
      </c>
      <c r="J1522" s="10">
        <f>IF(K1522&gt;0, "Completed", "Pending")</f>
        <v/>
      </c>
      <c r="K1522" s="10">
        <f>COUNTIF('Survey Responses'!F:F, F1522)</f>
        <v/>
      </c>
    </row>
    <row r="1523">
      <c r="A1523" s="10" t="n">
        <v>1522</v>
      </c>
      <c r="B1523" s="11" t="inlineStr">
        <is>
          <t>Jashore (GEN-A)</t>
        </is>
      </c>
      <c r="C1523" s="11" t="inlineStr">
        <is>
          <t>Mr. Mahabubur Rahman</t>
        </is>
      </c>
      <c r="D1523" s="11" t="inlineStr">
        <is>
          <t>Meherpur GEN-A-1</t>
        </is>
      </c>
      <c r="E1523" s="11" t="inlineStr">
        <is>
          <t>Mr. Md. Ershad Ali</t>
        </is>
      </c>
      <c r="F1523" s="10" t="n">
        <v>10310</v>
      </c>
      <c r="G1523" s="11" t="inlineStr">
        <is>
          <t>Alamdanga-1</t>
        </is>
      </c>
      <c r="H1523" s="10" t="n">
        <v>2285</v>
      </c>
      <c r="I1523" s="11" t="inlineStr">
        <is>
          <t>Md. Salim Reza</t>
        </is>
      </c>
      <c r="J1523" s="10">
        <f>IF(K1523&gt;0, "Completed", "Pending")</f>
        <v/>
      </c>
      <c r="K1523" s="10">
        <f>COUNTIF('Survey Responses'!F:F, F1523)</f>
        <v/>
      </c>
    </row>
    <row r="1524">
      <c r="A1524" s="10" t="n">
        <v>1523</v>
      </c>
      <c r="B1524" s="11" t="inlineStr">
        <is>
          <t>Jashore (GEN-A)</t>
        </is>
      </c>
      <c r="C1524" s="11" t="inlineStr">
        <is>
          <t>Mr. Mahabubur Rahman</t>
        </is>
      </c>
      <c r="D1524" s="11" t="inlineStr">
        <is>
          <t>Meherpur GEN-A-1</t>
        </is>
      </c>
      <c r="E1524" s="11" t="inlineStr">
        <is>
          <t>Mr. Md. Ershad Ali</t>
        </is>
      </c>
      <c r="F1524" s="10" t="n">
        <v>10311</v>
      </c>
      <c r="G1524" s="11" t="inlineStr">
        <is>
          <t>Alamdanga-2</t>
        </is>
      </c>
      <c r="H1524" s="10" t="n">
        <v>3014</v>
      </c>
      <c r="I1524" s="11" t="inlineStr">
        <is>
          <t>Md. Rana Mondal</t>
        </is>
      </c>
      <c r="J1524" s="10">
        <f>IF(K1524&gt;0, "Completed", "Pending")</f>
        <v/>
      </c>
      <c r="K1524" s="10">
        <f>COUNTIF('Survey Responses'!F:F, F1524)</f>
        <v/>
      </c>
    </row>
    <row r="1525">
      <c r="A1525" s="10" t="n">
        <v>1524</v>
      </c>
      <c r="B1525" s="11" t="inlineStr">
        <is>
          <t>Jashore (GEN-A)</t>
        </is>
      </c>
      <c r="C1525" s="11" t="inlineStr">
        <is>
          <t>Mr. Mahabubur Rahman</t>
        </is>
      </c>
      <c r="D1525" s="11" t="inlineStr">
        <is>
          <t>Meherpur GEN-A-1</t>
        </is>
      </c>
      <c r="E1525" s="11" t="inlineStr">
        <is>
          <t>Mr. Md. Ershad Ali</t>
        </is>
      </c>
      <c r="F1525" s="10" t="n">
        <v>10312</v>
      </c>
      <c r="G1525" s="11" t="inlineStr">
        <is>
          <t>Gangni-1</t>
        </is>
      </c>
      <c r="H1525" s="10" t="n">
        <v>1365</v>
      </c>
      <c r="I1525" s="11" t="inlineStr">
        <is>
          <t>Md. Kabil Uddin</t>
        </is>
      </c>
      <c r="J1525" s="10">
        <f>IF(K1525&gt;0, "Completed", "Pending")</f>
        <v/>
      </c>
      <c r="K1525" s="10">
        <f>COUNTIF('Survey Responses'!F:F, F1525)</f>
        <v/>
      </c>
    </row>
    <row r="1526">
      <c r="A1526" s="10" t="n">
        <v>1525</v>
      </c>
      <c r="B1526" s="11" t="inlineStr">
        <is>
          <t>Jashore (GEN-A)</t>
        </is>
      </c>
      <c r="C1526" s="11" t="inlineStr">
        <is>
          <t>Mr. Mahabubur Rahman</t>
        </is>
      </c>
      <c r="D1526" s="11" t="inlineStr">
        <is>
          <t>Meherpur GEN-A-1</t>
        </is>
      </c>
      <c r="E1526" s="11" t="inlineStr">
        <is>
          <t>Mr. Md. Ershad Ali</t>
        </is>
      </c>
      <c r="F1526" s="10" t="n">
        <v>14147</v>
      </c>
      <c r="G1526" s="11" t="inlineStr">
        <is>
          <t>Gangni-2</t>
        </is>
      </c>
      <c r="H1526" s="10" t="n">
        <v>7492</v>
      </c>
      <c r="I1526" s="11" t="inlineStr">
        <is>
          <t>Mr. Md. Aorangojeb</t>
        </is>
      </c>
      <c r="J1526" s="10">
        <f>IF(K1526&gt;0, "Completed", "Pending")</f>
        <v/>
      </c>
      <c r="K1526" s="10">
        <f>COUNTIF('Survey Responses'!F:F, F1526)</f>
        <v/>
      </c>
    </row>
    <row r="1527">
      <c r="A1527" s="10" t="n">
        <v>1526</v>
      </c>
      <c r="B1527" s="11" t="inlineStr">
        <is>
          <t>Jashore (GEN-A)</t>
        </is>
      </c>
      <c r="C1527" s="11" t="inlineStr">
        <is>
          <t>Mr. Mahabubur Rahman</t>
        </is>
      </c>
      <c r="D1527" s="11" t="inlineStr">
        <is>
          <t>Meherpur GEN-A-1</t>
        </is>
      </c>
      <c r="E1527" s="11" t="inlineStr">
        <is>
          <t>Mr. Md. Ershad Ali</t>
        </is>
      </c>
      <c r="F1527" s="10" t="n">
        <v>10346</v>
      </c>
      <c r="G1527" s="11" t="inlineStr">
        <is>
          <t>Meherpur-1</t>
        </is>
      </c>
      <c r="H1527" s="10" t="n">
        <v>7136</v>
      </c>
      <c r="I1527" s="11" t="inlineStr">
        <is>
          <t>Mr. Md. Alamgir Hossain</t>
        </is>
      </c>
      <c r="J1527" s="10">
        <f>IF(K1527&gt;0, "Completed", "Pending")</f>
        <v/>
      </c>
      <c r="K1527" s="10">
        <f>COUNTIF('Survey Responses'!F:F, F1527)</f>
        <v/>
      </c>
    </row>
    <row r="1528">
      <c r="A1528" s="10" t="n">
        <v>1527</v>
      </c>
      <c r="B1528" s="11" t="inlineStr">
        <is>
          <t>Jashore (GEN-A)</t>
        </is>
      </c>
      <c r="C1528" s="11" t="inlineStr">
        <is>
          <t>Mr. Mahabubur Rahman</t>
        </is>
      </c>
      <c r="D1528" s="11" t="inlineStr">
        <is>
          <t>Meherpur GEN-A-1</t>
        </is>
      </c>
      <c r="E1528" s="11" t="inlineStr">
        <is>
          <t>Mr. Md. Ershad Ali</t>
        </is>
      </c>
      <c r="F1528" s="10" t="n">
        <v>10342</v>
      </c>
      <c r="G1528" s="11" t="inlineStr">
        <is>
          <t>Meherpur-2</t>
        </is>
      </c>
      <c r="H1528" s="10" t="n">
        <v>708</v>
      </c>
      <c r="I1528" s="11" t="inlineStr">
        <is>
          <t>Mir Masudul Hasan</t>
        </is>
      </c>
      <c r="J1528" s="10">
        <f>IF(K1528&gt;0, "Completed", "Pending")</f>
        <v/>
      </c>
      <c r="K1528" s="10">
        <f>COUNTIF('Survey Responses'!F:F, F1528)</f>
        <v/>
      </c>
    </row>
    <row r="1529">
      <c r="A1529" s="10" t="n">
        <v>1528</v>
      </c>
      <c r="B1529" s="11" t="inlineStr">
        <is>
          <t>Jashore (GEN-A)</t>
        </is>
      </c>
      <c r="C1529" s="11" t="inlineStr">
        <is>
          <t>Mr. Mahabubur Rahman</t>
        </is>
      </c>
      <c r="D1529" s="11" t="inlineStr">
        <is>
          <t>Meherpur GEN-A-1</t>
        </is>
      </c>
      <c r="E1529" s="11" t="inlineStr">
        <is>
          <t>Mr. Md. Ershad Ali</t>
        </is>
      </c>
      <c r="F1529" s="10" t="n">
        <v>13257</v>
      </c>
      <c r="G1529" s="11" t="inlineStr">
        <is>
          <t>Mujibnagar-1</t>
        </is>
      </c>
      <c r="H1529" s="10" t="n">
        <v>5991</v>
      </c>
      <c r="I1529" s="11" t="inlineStr">
        <is>
          <t>Mr.  Md. Milton Hossain</t>
        </is>
      </c>
      <c r="J1529" s="10">
        <f>IF(K1529&gt;0, "Completed", "Pending")</f>
        <v/>
      </c>
      <c r="K1529" s="10">
        <f>COUNTIF('Survey Responses'!F:F, F1529)</f>
        <v/>
      </c>
    </row>
    <row r="1530">
      <c r="A1530" s="10" t="n">
        <v>1529</v>
      </c>
      <c r="B1530" s="11" t="inlineStr">
        <is>
          <t>Jashore (GEN-A)</t>
        </is>
      </c>
      <c r="C1530" s="11" t="inlineStr">
        <is>
          <t>Mr. Mahabubur Rahman</t>
        </is>
      </c>
      <c r="D1530" s="11" t="inlineStr">
        <is>
          <t>Narail GEN-A-1</t>
        </is>
      </c>
      <c r="E1530" s="11" t="inlineStr">
        <is>
          <t>Mr. Emamul Hoque</t>
        </is>
      </c>
      <c r="F1530" s="10" t="n">
        <v>13659</v>
      </c>
      <c r="G1530" s="11" t="inlineStr">
        <is>
          <t>Bagharpara</t>
        </is>
      </c>
      <c r="H1530" s="10" t="n">
        <v>7292</v>
      </c>
      <c r="I1530" s="11" t="inlineStr">
        <is>
          <t>Mr. Md. Ashiqur Rahman</t>
        </is>
      </c>
      <c r="J1530" s="10">
        <f>IF(K1530&gt;0, "Completed", "Pending")</f>
        <v/>
      </c>
      <c r="K1530" s="10">
        <f>COUNTIF('Survey Responses'!F:F, F1530)</f>
        <v/>
      </c>
    </row>
    <row r="1531">
      <c r="A1531" s="10" t="n">
        <v>1530</v>
      </c>
      <c r="B1531" s="11" t="inlineStr">
        <is>
          <t>Jashore (GEN-A)</t>
        </is>
      </c>
      <c r="C1531" s="11" t="inlineStr">
        <is>
          <t>Mr. Mahabubur Rahman</t>
        </is>
      </c>
      <c r="D1531" s="11" t="inlineStr">
        <is>
          <t>Narail GEN-A-1</t>
        </is>
      </c>
      <c r="E1531" s="11" t="inlineStr">
        <is>
          <t>Mr. Emamul Hoque</t>
        </is>
      </c>
      <c r="F1531" s="10" t="n">
        <v>13305</v>
      </c>
      <c r="G1531" s="11" t="inlineStr">
        <is>
          <t>Kalia-1</t>
        </is>
      </c>
      <c r="H1531" s="10" t="n">
        <v>5929</v>
      </c>
      <c r="I1531" s="11" t="inlineStr">
        <is>
          <t>Mr. Md. Shaikot Islam</t>
        </is>
      </c>
      <c r="J1531" s="10">
        <f>IF(K1531&gt;0, "Completed", "Pending")</f>
        <v/>
      </c>
      <c r="K1531" s="10">
        <f>COUNTIF('Survey Responses'!F:F, F1531)</f>
        <v/>
      </c>
    </row>
    <row r="1532">
      <c r="A1532" s="10" t="n">
        <v>1531</v>
      </c>
      <c r="B1532" s="11" t="inlineStr">
        <is>
          <t>Jashore (GEN-A)</t>
        </is>
      </c>
      <c r="C1532" s="11" t="inlineStr">
        <is>
          <t>Mr. Mahabubur Rahman</t>
        </is>
      </c>
      <c r="D1532" s="11" t="inlineStr">
        <is>
          <t>Narail GEN-A-1</t>
        </is>
      </c>
      <c r="E1532" s="11" t="inlineStr">
        <is>
          <t>Mr. Emamul Hoque</t>
        </is>
      </c>
      <c r="F1532" s="10" t="n">
        <v>10320</v>
      </c>
      <c r="G1532" s="11" t="inlineStr">
        <is>
          <t>Lohagara-1</t>
        </is>
      </c>
      <c r="H1532" s="10" t="n">
        <v>6452</v>
      </c>
      <c r="I1532" s="11" t="inlineStr">
        <is>
          <t>Mr. Shahin Alam</t>
        </is>
      </c>
      <c r="J1532" s="10">
        <f>IF(K1532&gt;0, "Completed", "Pending")</f>
        <v/>
      </c>
      <c r="K1532" s="10">
        <f>COUNTIF('Survey Responses'!F:F, F1532)</f>
        <v/>
      </c>
    </row>
    <row r="1533">
      <c r="A1533" s="10" t="n">
        <v>1532</v>
      </c>
      <c r="B1533" s="11" t="inlineStr">
        <is>
          <t>Jashore (GEN-A)</t>
        </is>
      </c>
      <c r="C1533" s="11" t="inlineStr">
        <is>
          <t>Mr. Mahabubur Rahman</t>
        </is>
      </c>
      <c r="D1533" s="11" t="inlineStr">
        <is>
          <t>Narail GEN-A-1</t>
        </is>
      </c>
      <c r="E1533" s="11" t="inlineStr">
        <is>
          <t>Mr. Emamul Hoque</t>
        </is>
      </c>
      <c r="F1533" s="10" t="n">
        <v>12682</v>
      </c>
      <c r="G1533" s="11" t="inlineStr">
        <is>
          <t>Lohagara-2</t>
        </is>
      </c>
      <c r="H1533" s="10" t="n">
        <v>4192</v>
      </c>
      <c r="I1533" s="11" t="inlineStr">
        <is>
          <t>Mr. Md. Mazharul Islam</t>
        </is>
      </c>
      <c r="J1533" s="10">
        <f>IF(K1533&gt;0, "Completed", "Pending")</f>
        <v/>
      </c>
      <c r="K1533" s="10">
        <f>COUNTIF('Survey Responses'!F:F, F1533)</f>
        <v/>
      </c>
    </row>
    <row r="1534">
      <c r="A1534" s="10" t="n">
        <v>1533</v>
      </c>
      <c r="B1534" s="11" t="inlineStr">
        <is>
          <t>Jashore (GEN-A)</t>
        </is>
      </c>
      <c r="C1534" s="11" t="inlineStr">
        <is>
          <t>Mr. Mahabubur Rahman</t>
        </is>
      </c>
      <c r="D1534" s="11" t="inlineStr">
        <is>
          <t>Narail GEN-A-1</t>
        </is>
      </c>
      <c r="E1534" s="11" t="inlineStr">
        <is>
          <t>Mr. Emamul Hoque</t>
        </is>
      </c>
      <c r="F1534" s="10" t="n">
        <v>10339</v>
      </c>
      <c r="G1534" s="11" t="inlineStr">
        <is>
          <t>Mohammadpur</t>
        </is>
      </c>
      <c r="H1534" s="10" t="n">
        <v>2266</v>
      </c>
      <c r="I1534" s="11" t="inlineStr">
        <is>
          <t>Md. Vasan Ali</t>
        </is>
      </c>
      <c r="J1534" s="10">
        <f>IF(K1534&gt;0, "Completed", "Pending")</f>
        <v/>
      </c>
      <c r="K1534" s="10">
        <f>COUNTIF('Survey Responses'!F:F, F1534)</f>
        <v/>
      </c>
    </row>
    <row r="1535">
      <c r="A1535" s="10" t="n">
        <v>1534</v>
      </c>
      <c r="B1535" s="11" t="inlineStr">
        <is>
          <t>Jashore (GEN-A)</t>
        </is>
      </c>
      <c r="C1535" s="11" t="inlineStr">
        <is>
          <t>Mr. Mahabubur Rahman</t>
        </is>
      </c>
      <c r="D1535" s="11" t="inlineStr">
        <is>
          <t>Narail GEN-A-1</t>
        </is>
      </c>
      <c r="E1535" s="11" t="inlineStr">
        <is>
          <t>Mr. Emamul Hoque</t>
        </is>
      </c>
      <c r="F1535" s="10" t="n">
        <v>10317</v>
      </c>
      <c r="G1535" s="11" t="inlineStr">
        <is>
          <t>Narail-1</t>
        </is>
      </c>
      <c r="H1535" s="10" t="n">
        <v>1917</v>
      </c>
      <c r="I1535" s="11" t="inlineStr">
        <is>
          <t>Md. Tariqul Islam</t>
        </is>
      </c>
      <c r="J1535" s="10">
        <f>IF(K1535&gt;0, "Completed", "Pending")</f>
        <v/>
      </c>
      <c r="K1535" s="10">
        <f>COUNTIF('Survey Responses'!F:F, F1535)</f>
        <v/>
      </c>
    </row>
    <row r="1536">
      <c r="A1536" s="10" t="n">
        <v>1535</v>
      </c>
      <c r="B1536" s="11" t="inlineStr">
        <is>
          <t>Jashore (GEN-A)</t>
        </is>
      </c>
      <c r="C1536" s="11" t="inlineStr">
        <is>
          <t>Mr. Mahabubur Rahman</t>
        </is>
      </c>
      <c r="D1536" s="11" t="inlineStr">
        <is>
          <t>Narail GEN-A-1</t>
        </is>
      </c>
      <c r="E1536" s="11" t="inlineStr">
        <is>
          <t>Mr. Emamul Hoque</t>
        </is>
      </c>
      <c r="F1536" s="10" t="n">
        <v>10322</v>
      </c>
      <c r="G1536" s="11" t="inlineStr">
        <is>
          <t>Narail-2</t>
        </is>
      </c>
      <c r="H1536" s="10" t="n">
        <v>1785</v>
      </c>
      <c r="I1536" s="11" t="inlineStr">
        <is>
          <t>Md. Azizul Haque</t>
        </is>
      </c>
      <c r="J1536" s="10">
        <f>IF(K1536&gt;0, "Completed", "Pending")</f>
        <v/>
      </c>
      <c r="K1536" s="10">
        <f>COUNTIF('Survey Responses'!F:F, F1536)</f>
        <v/>
      </c>
    </row>
    <row r="1537">
      <c r="A1537" s="10" t="n">
        <v>1536</v>
      </c>
      <c r="B1537" s="11" t="inlineStr">
        <is>
          <t>Jashore (GEN-A)</t>
        </is>
      </c>
      <c r="C1537" s="11" t="inlineStr">
        <is>
          <t>Mr. Mahabubur Rahman</t>
        </is>
      </c>
      <c r="D1537" s="11" t="inlineStr">
        <is>
          <t>Narail GEN-A-1</t>
        </is>
      </c>
      <c r="E1537" s="11" t="inlineStr">
        <is>
          <t>Mr. Emamul Hoque</t>
        </is>
      </c>
      <c r="F1537" s="10" t="n">
        <v>14875</v>
      </c>
      <c r="G1537" s="11" t="inlineStr">
        <is>
          <t>Narail-3</t>
        </is>
      </c>
      <c r="H1537" s="10" t="n">
        <v>8999</v>
      </c>
      <c r="I1537" s="11" t="inlineStr">
        <is>
          <t>Mr. Abdul Wahed</t>
        </is>
      </c>
      <c r="J1537" s="10">
        <f>IF(K1537&gt;0, "Completed", "Pending")</f>
        <v/>
      </c>
      <c r="K1537" s="10">
        <f>COUNTIF('Survey Responses'!F:F, F1537)</f>
        <v/>
      </c>
    </row>
    <row r="1538">
      <c r="A1538" s="10" t="n">
        <v>1537</v>
      </c>
      <c r="B1538" s="11" t="inlineStr">
        <is>
          <t>Khulna (GEN-A)</t>
        </is>
      </c>
      <c r="C1538" s="11" t="inlineStr">
        <is>
          <t>Mr. Syed Zulhas Uddin</t>
        </is>
      </c>
      <c r="D1538" s="11" t="inlineStr">
        <is>
          <t>Bagerhat GEN-A-1</t>
        </is>
      </c>
      <c r="E1538" s="11" t="inlineStr">
        <is>
          <t>Mr. Md. Asaduzzaman</t>
        </is>
      </c>
      <c r="F1538" s="10" t="n">
        <v>10410</v>
      </c>
      <c r="G1538" s="11" t="inlineStr">
        <is>
          <t>Bagerhat-1</t>
        </is>
      </c>
      <c r="H1538" s="10" t="n">
        <v>3153</v>
      </c>
      <c r="I1538" s="11" t="inlineStr">
        <is>
          <t>Mr. Md. Abdul Halim</t>
        </is>
      </c>
      <c r="J1538" s="10">
        <f>IF(K1538&gt;0, "Completed", "Pending")</f>
        <v/>
      </c>
      <c r="K1538" s="10">
        <f>COUNTIF('Survey Responses'!F:F, F1538)</f>
        <v/>
      </c>
    </row>
    <row r="1539">
      <c r="A1539" s="10" t="n">
        <v>1538</v>
      </c>
      <c r="B1539" s="11" t="inlineStr">
        <is>
          <t>Khulna (GEN-A)</t>
        </is>
      </c>
      <c r="C1539" s="11" t="inlineStr">
        <is>
          <t>Mr. Syed Zulhas Uddin</t>
        </is>
      </c>
      <c r="D1539" s="11" t="inlineStr">
        <is>
          <t>Bagerhat GEN-A-1</t>
        </is>
      </c>
      <c r="E1539" s="11" t="inlineStr">
        <is>
          <t>Mr. Md. Asaduzzaman</t>
        </is>
      </c>
      <c r="F1539" s="10" t="n">
        <v>10413</v>
      </c>
      <c r="G1539" s="11" t="inlineStr">
        <is>
          <t>Bagerhat-2</t>
        </is>
      </c>
      <c r="H1539" s="10" t="n">
        <v>1217</v>
      </c>
      <c r="I1539" s="11" t="inlineStr">
        <is>
          <t>Abu Daud Biswas</t>
        </is>
      </c>
      <c r="J1539" s="10">
        <f>IF(K1539&gt;0, "Completed", "Pending")</f>
        <v/>
      </c>
      <c r="K1539" s="10">
        <f>COUNTIF('Survey Responses'!F:F, F1539)</f>
        <v/>
      </c>
    </row>
    <row r="1540">
      <c r="A1540" s="10" t="n">
        <v>1539</v>
      </c>
      <c r="B1540" s="11" t="inlineStr">
        <is>
          <t>Khulna (GEN-A)</t>
        </is>
      </c>
      <c r="C1540" s="11" t="inlineStr">
        <is>
          <t>Mr. Syed Zulhas Uddin</t>
        </is>
      </c>
      <c r="D1540" s="11" t="inlineStr">
        <is>
          <t>Bagerhat GEN-A-1</t>
        </is>
      </c>
      <c r="E1540" s="11" t="inlineStr">
        <is>
          <t>Mr. Md. Asaduzzaman</t>
        </is>
      </c>
      <c r="F1540" s="10" t="n">
        <v>10414</v>
      </c>
      <c r="G1540" s="11" t="inlineStr">
        <is>
          <t>Bagerhat-3</t>
        </is>
      </c>
      <c r="H1540" s="10" t="n">
        <v>1967</v>
      </c>
      <c r="I1540" s="11" t="inlineStr">
        <is>
          <t>Md. Rahidul Islam</t>
        </is>
      </c>
      <c r="J1540" s="10">
        <f>IF(K1540&gt;0, "Completed", "Pending")</f>
        <v/>
      </c>
      <c r="K1540" s="10">
        <f>COUNTIF('Survey Responses'!F:F, F1540)</f>
        <v/>
      </c>
    </row>
    <row r="1541">
      <c r="A1541" s="10" t="n">
        <v>1540</v>
      </c>
      <c r="B1541" s="11" t="inlineStr">
        <is>
          <t>Khulna (GEN-A)</t>
        </is>
      </c>
      <c r="C1541" s="11" t="inlineStr">
        <is>
          <t>Mr. Syed Zulhas Uddin</t>
        </is>
      </c>
      <c r="D1541" s="11" t="inlineStr">
        <is>
          <t>Bagerhat GEN-A-1</t>
        </is>
      </c>
      <c r="E1541" s="11" t="inlineStr">
        <is>
          <t>Mr. Md. Asaduzzaman</t>
        </is>
      </c>
      <c r="F1541" s="10" t="n">
        <v>12202</v>
      </c>
      <c r="G1541" s="11" t="inlineStr">
        <is>
          <t>Kachua (Bagerhat)-1</t>
        </is>
      </c>
      <c r="H1541" s="10" t="n">
        <v>7060</v>
      </c>
      <c r="I1541" s="11" t="inlineStr">
        <is>
          <t>Mr. Md. Sajdur Rahman</t>
        </is>
      </c>
      <c r="J1541" s="10">
        <f>IF(K1541&gt;0, "Completed", "Pending")</f>
        <v/>
      </c>
      <c r="K1541" s="10">
        <f>COUNTIF('Survey Responses'!F:F, F1541)</f>
        <v/>
      </c>
    </row>
    <row r="1542">
      <c r="A1542" s="10" t="n">
        <v>1541</v>
      </c>
      <c r="B1542" s="11" t="inlineStr">
        <is>
          <t>Khulna (GEN-A)</t>
        </is>
      </c>
      <c r="C1542" s="11" t="inlineStr">
        <is>
          <t>Mr. Syed Zulhas Uddin</t>
        </is>
      </c>
      <c r="D1542" s="11" t="inlineStr">
        <is>
          <t>Bagerhat GEN-A-1</t>
        </is>
      </c>
      <c r="E1542" s="11" t="inlineStr">
        <is>
          <t>Mr. Md. Asaduzzaman</t>
        </is>
      </c>
      <c r="F1542" s="10" t="n">
        <v>10415</v>
      </c>
      <c r="G1542" s="11" t="inlineStr">
        <is>
          <t>Morolganj</t>
        </is>
      </c>
      <c r="H1542" s="10" t="n">
        <v>1451</v>
      </c>
      <c r="I1542" s="11" t="inlineStr">
        <is>
          <t>Md. Anisur Rahman</t>
        </is>
      </c>
      <c r="J1542" s="10">
        <f>IF(K1542&gt;0, "Completed", "Pending")</f>
        <v/>
      </c>
      <c r="K1542" s="10">
        <f>COUNTIF('Survey Responses'!F:F, F1542)</f>
        <v/>
      </c>
    </row>
    <row r="1543">
      <c r="A1543" s="10" t="n">
        <v>1542</v>
      </c>
      <c r="B1543" s="11" t="inlineStr">
        <is>
          <t>Khulna (GEN-A)</t>
        </is>
      </c>
      <c r="C1543" s="11" t="inlineStr">
        <is>
          <t>Mr. Syed Zulhas Uddin</t>
        </is>
      </c>
      <c r="D1543" s="11" t="inlineStr">
        <is>
          <t>Bagerhat GEN-A-1</t>
        </is>
      </c>
      <c r="E1543" s="11" t="inlineStr">
        <is>
          <t>Mr. Md. Asaduzzaman</t>
        </is>
      </c>
      <c r="F1543" s="10" t="n">
        <v>10412</v>
      </c>
      <c r="G1543" s="11" t="inlineStr">
        <is>
          <t>Pirojpur-1</t>
        </is>
      </c>
      <c r="H1543" s="10" t="n">
        <v>2660</v>
      </c>
      <c r="I1543" s="11" t="inlineStr">
        <is>
          <t>Md. Romzan Ali</t>
        </is>
      </c>
      <c r="J1543" s="10">
        <f>IF(K1543&gt;0, "Completed", "Pending")</f>
        <v/>
      </c>
      <c r="K1543" s="10">
        <f>COUNTIF('Survey Responses'!F:F, F1543)</f>
        <v/>
      </c>
    </row>
    <row r="1544">
      <c r="A1544" s="10" t="n">
        <v>1543</v>
      </c>
      <c r="B1544" s="11" t="inlineStr">
        <is>
          <t>Khulna (GEN-A)</t>
        </is>
      </c>
      <c r="C1544" s="11" t="inlineStr">
        <is>
          <t>Mr. Syed Zulhas Uddin</t>
        </is>
      </c>
      <c r="D1544" s="11" t="inlineStr">
        <is>
          <t>Bagerhat GEN-A-1</t>
        </is>
      </c>
      <c r="E1544" s="11" t="inlineStr">
        <is>
          <t>Mr. Md. Asaduzzaman</t>
        </is>
      </c>
      <c r="F1544" s="10" t="n">
        <v>10411</v>
      </c>
      <c r="G1544" s="11" t="inlineStr">
        <is>
          <t>Pirojpur-2</t>
        </is>
      </c>
      <c r="H1544" s="10" t="n">
        <v>8769</v>
      </c>
      <c r="I1544" s="11" t="inlineStr">
        <is>
          <t>Mr. Jaydeb Kumar Barmon</t>
        </is>
      </c>
      <c r="J1544" s="10">
        <f>IF(K1544&gt;0, "Completed", "Pending")</f>
        <v/>
      </c>
      <c r="K1544" s="10">
        <f>COUNTIF('Survey Responses'!F:F, F1544)</f>
        <v/>
      </c>
    </row>
    <row r="1545">
      <c r="A1545" s="10" t="n">
        <v>1544</v>
      </c>
      <c r="B1545" s="11" t="inlineStr">
        <is>
          <t>Khulna (GEN-A)</t>
        </is>
      </c>
      <c r="C1545" s="11" t="inlineStr">
        <is>
          <t>Mr. Syed Zulhas Uddin</t>
        </is>
      </c>
      <c r="D1545" s="11" t="inlineStr">
        <is>
          <t>Bagerhat GEN-A-1</t>
        </is>
      </c>
      <c r="E1545" s="11" t="inlineStr">
        <is>
          <t>Mr. Md. Asaduzzaman</t>
        </is>
      </c>
      <c r="F1545" s="10" t="n">
        <v>14549</v>
      </c>
      <c r="G1545" s="11" t="inlineStr">
        <is>
          <t>Sharankhola</t>
        </is>
      </c>
      <c r="H1545" s="10" t="n">
        <v>7623</v>
      </c>
      <c r="I1545" s="11" t="inlineStr">
        <is>
          <t>Mr. Rajon Ali</t>
        </is>
      </c>
      <c r="J1545" s="10">
        <f>IF(K1545&gt;0, "Completed", "Pending")</f>
        <v/>
      </c>
      <c r="K1545" s="10">
        <f>COUNTIF('Survey Responses'!F:F, F1545)</f>
        <v/>
      </c>
    </row>
    <row r="1546">
      <c r="A1546" s="10" t="n">
        <v>1545</v>
      </c>
      <c r="B1546" s="11" t="inlineStr">
        <is>
          <t>Khulna (GEN-A)</t>
        </is>
      </c>
      <c r="C1546" s="11" t="inlineStr">
        <is>
          <t>Mr. Syed Zulhas Uddin</t>
        </is>
      </c>
      <c r="D1546" s="11" t="inlineStr">
        <is>
          <t>Khulna GEN-A-1</t>
        </is>
      </c>
      <c r="E1546" s="11" t="inlineStr">
        <is>
          <t>Mr. Md. Azizul Haque</t>
        </is>
      </c>
      <c r="F1546" s="10" t="n">
        <v>10398</v>
      </c>
      <c r="G1546" s="11" t="inlineStr">
        <is>
          <t>Khulna-1</t>
        </is>
      </c>
      <c r="H1546" s="10" t="n">
        <v>527</v>
      </c>
      <c r="I1546" s="11" t="inlineStr">
        <is>
          <t>Md. Sohel Ahmed-939</t>
        </is>
      </c>
      <c r="J1546" s="10">
        <f>IF(K1546&gt;0, "Completed", "Pending")</f>
        <v/>
      </c>
      <c r="K1546" s="10">
        <f>COUNTIF('Survey Responses'!F:F, F1546)</f>
        <v/>
      </c>
    </row>
    <row r="1547">
      <c r="A1547" s="10" t="n">
        <v>1546</v>
      </c>
      <c r="B1547" s="11" t="inlineStr">
        <is>
          <t>Khulna (GEN-A)</t>
        </is>
      </c>
      <c r="C1547" s="11" t="inlineStr">
        <is>
          <t>Mr. Syed Zulhas Uddin</t>
        </is>
      </c>
      <c r="D1547" s="11" t="inlineStr">
        <is>
          <t>Khulna GEN-A-1</t>
        </is>
      </c>
      <c r="E1547" s="11" t="inlineStr">
        <is>
          <t>Mr. Md. Azizul Haque</t>
        </is>
      </c>
      <c r="F1547" s="10" t="n">
        <v>10393</v>
      </c>
      <c r="G1547" s="11" t="inlineStr">
        <is>
          <t>Khulna-2</t>
        </is>
      </c>
      <c r="H1547" s="10" t="n">
        <v>3512</v>
      </c>
      <c r="I1547" s="11" t="inlineStr">
        <is>
          <t>Mr. Md. Nazmul Hussain</t>
        </is>
      </c>
      <c r="J1547" s="10">
        <f>IF(K1547&gt;0, "Completed", "Pending")</f>
        <v/>
      </c>
      <c r="K1547" s="10">
        <f>COUNTIF('Survey Responses'!F:F, F1547)</f>
        <v/>
      </c>
    </row>
    <row r="1548">
      <c r="A1548" s="10" t="n">
        <v>1547</v>
      </c>
      <c r="B1548" s="11" t="inlineStr">
        <is>
          <t>Khulna (GEN-A)</t>
        </is>
      </c>
      <c r="C1548" s="11" t="inlineStr">
        <is>
          <t>Mr. Syed Zulhas Uddin</t>
        </is>
      </c>
      <c r="D1548" s="11" t="inlineStr">
        <is>
          <t>Khulna GEN-A-1</t>
        </is>
      </c>
      <c r="E1548" s="11" t="inlineStr">
        <is>
          <t>Mr. Md. Azizul Haque</t>
        </is>
      </c>
      <c r="F1548" s="10" t="n">
        <v>10394</v>
      </c>
      <c r="G1548" s="11" t="inlineStr">
        <is>
          <t>Khulna-4</t>
        </is>
      </c>
      <c r="H1548" s="10" t="n">
        <v>4042</v>
      </c>
      <c r="I1548" s="11" t="inlineStr">
        <is>
          <t>Md. Mizanur Rahman</t>
        </is>
      </c>
      <c r="J1548" s="10">
        <f>IF(K1548&gt;0, "Completed", "Pending")</f>
        <v/>
      </c>
      <c r="K1548" s="10">
        <f>COUNTIF('Survey Responses'!F:F, F1548)</f>
        <v/>
      </c>
    </row>
    <row r="1549">
      <c r="A1549" s="10" t="n">
        <v>1548</v>
      </c>
      <c r="B1549" s="11" t="inlineStr">
        <is>
          <t>Khulna (GEN-A)</t>
        </is>
      </c>
      <c r="C1549" s="11" t="inlineStr">
        <is>
          <t>Mr. Syed Zulhas Uddin</t>
        </is>
      </c>
      <c r="D1549" s="11" t="inlineStr">
        <is>
          <t>Khulna GEN-A-1</t>
        </is>
      </c>
      <c r="E1549" s="11" t="inlineStr">
        <is>
          <t>Mr. Md. Azizul Haque</t>
        </is>
      </c>
      <c r="F1549" s="10" t="n">
        <v>10407</v>
      </c>
      <c r="G1549" s="11" t="inlineStr">
        <is>
          <t>Khulna-7</t>
        </is>
      </c>
      <c r="H1549" s="10" t="n">
        <v>5078</v>
      </c>
      <c r="I1549" s="11" t="inlineStr">
        <is>
          <t>Mr. Md. Kamrul Hasan</t>
        </is>
      </c>
      <c r="J1549" s="10">
        <f>IF(K1549&gt;0, "Completed", "Pending")</f>
        <v/>
      </c>
      <c r="K1549" s="10">
        <f>COUNTIF('Survey Responses'!F:F, F1549)</f>
        <v/>
      </c>
    </row>
    <row r="1550">
      <c r="A1550" s="10" t="n">
        <v>1549</v>
      </c>
      <c r="B1550" s="11" t="inlineStr">
        <is>
          <t>Khulna (GEN-A)</t>
        </is>
      </c>
      <c r="C1550" s="11" t="inlineStr">
        <is>
          <t>Mr. Syed Zulhas Uddin</t>
        </is>
      </c>
      <c r="D1550" s="11" t="inlineStr">
        <is>
          <t>Khulna GEN-A-1</t>
        </is>
      </c>
      <c r="E1550" s="11" t="inlineStr">
        <is>
          <t>Mr. Md. Azizul Haque</t>
        </is>
      </c>
      <c r="F1550" s="10" t="n">
        <v>10400</v>
      </c>
      <c r="G1550" s="11" t="inlineStr">
        <is>
          <t>Noapara-1</t>
        </is>
      </c>
      <c r="H1550" s="10" t="n">
        <v>3976</v>
      </c>
      <c r="I1550" s="11" t="inlineStr">
        <is>
          <t>Mr. Priom Hasan</t>
        </is>
      </c>
      <c r="J1550" s="10">
        <f>IF(K1550&gt;0, "Completed", "Pending")</f>
        <v/>
      </c>
      <c r="K1550" s="10">
        <f>COUNTIF('Survey Responses'!F:F, F1550)</f>
        <v/>
      </c>
    </row>
    <row r="1551">
      <c r="A1551" s="10" t="n">
        <v>1550</v>
      </c>
      <c r="B1551" s="11" t="inlineStr">
        <is>
          <t>Khulna (GEN-A)</t>
        </is>
      </c>
      <c r="C1551" s="11" t="inlineStr">
        <is>
          <t>Mr. Syed Zulhas Uddin</t>
        </is>
      </c>
      <c r="D1551" s="11" t="inlineStr">
        <is>
          <t>Khulna GEN-A-1</t>
        </is>
      </c>
      <c r="E1551" s="11" t="inlineStr">
        <is>
          <t>Mr. Md. Azizul Haque</t>
        </is>
      </c>
      <c r="F1551" s="10" t="n">
        <v>10401</v>
      </c>
      <c r="G1551" s="11" t="inlineStr">
        <is>
          <t>Noapara-2</t>
        </is>
      </c>
      <c r="H1551" s="10" t="n">
        <v>6142</v>
      </c>
      <c r="I1551" s="11" t="inlineStr">
        <is>
          <t>Mr. Md. Rashed Khan Milon</t>
        </is>
      </c>
      <c r="J1551" s="10">
        <f>IF(K1551&gt;0, "Completed", "Pending")</f>
        <v/>
      </c>
      <c r="K1551" s="10">
        <f>COUNTIF('Survey Responses'!F:F, F1551)</f>
        <v/>
      </c>
    </row>
    <row r="1552">
      <c r="A1552" s="10" t="n">
        <v>1551</v>
      </c>
      <c r="B1552" s="11" t="inlineStr">
        <is>
          <t>Khulna (GEN-A)</t>
        </is>
      </c>
      <c r="C1552" s="11" t="inlineStr">
        <is>
          <t>Mr. Syed Zulhas Uddin</t>
        </is>
      </c>
      <c r="D1552" s="11" t="inlineStr">
        <is>
          <t>Khulna GEN-A-1</t>
        </is>
      </c>
      <c r="E1552" s="11" t="inlineStr">
        <is>
          <t>Mr. Md. Azizul Haque</t>
        </is>
      </c>
      <c r="F1552" s="10" t="n">
        <v>10397</v>
      </c>
      <c r="G1552" s="11" t="inlineStr">
        <is>
          <t>Phultola</t>
        </is>
      </c>
      <c r="H1552" s="10" t="n">
        <v>1691</v>
      </c>
      <c r="I1552" s="11" t="inlineStr">
        <is>
          <t>Md. Habibur Rahman</t>
        </is>
      </c>
      <c r="J1552" s="10">
        <f>IF(K1552&gt;0, "Completed", "Pending")</f>
        <v/>
      </c>
      <c r="K1552" s="10">
        <f>COUNTIF('Survey Responses'!F:F, F1552)</f>
        <v/>
      </c>
    </row>
    <row r="1553">
      <c r="A1553" s="10" t="n">
        <v>1552</v>
      </c>
      <c r="B1553" s="11" t="inlineStr">
        <is>
          <t>Khulna (GEN-A)</t>
        </is>
      </c>
      <c r="C1553" s="11" t="inlineStr">
        <is>
          <t>Mr. Syed Zulhas Uddin</t>
        </is>
      </c>
      <c r="D1553" s="11" t="inlineStr">
        <is>
          <t>Khulna GEN-A-2</t>
        </is>
      </c>
      <c r="E1553" s="11" t="inlineStr">
        <is>
          <t>Mr. Shaikh Md. Saifur Rahman</t>
        </is>
      </c>
      <c r="F1553" s="10" t="n">
        <v>14887</v>
      </c>
      <c r="G1553" s="11" t="inlineStr">
        <is>
          <t>Chalna-1</t>
        </is>
      </c>
      <c r="H1553" s="10" t="n">
        <v>9049</v>
      </c>
      <c r="I1553" s="11" t="inlineStr">
        <is>
          <t>Mr. Md. Sahinur Salafee</t>
        </is>
      </c>
      <c r="J1553" s="10">
        <f>IF(K1553&gt;0, "Completed", "Pending")</f>
        <v/>
      </c>
      <c r="K1553" s="10">
        <f>COUNTIF('Survey Responses'!F:F, F1553)</f>
        <v/>
      </c>
    </row>
    <row r="1554">
      <c r="A1554" s="10" t="n">
        <v>1553</v>
      </c>
      <c r="B1554" s="11" t="inlineStr">
        <is>
          <t>Khulna (GEN-A)</t>
        </is>
      </c>
      <c r="C1554" s="11" t="inlineStr">
        <is>
          <t>Mr. Syed Zulhas Uddin</t>
        </is>
      </c>
      <c r="D1554" s="11" t="inlineStr">
        <is>
          <t>Khulna GEN-A-2</t>
        </is>
      </c>
      <c r="E1554" s="11" t="inlineStr">
        <is>
          <t>Mr. Shaikh Md. Saifur Rahman</t>
        </is>
      </c>
      <c r="F1554" s="10" t="n">
        <v>13631</v>
      </c>
      <c r="G1554" s="11" t="inlineStr">
        <is>
          <t>Khulna-10</t>
        </is>
      </c>
      <c r="H1554" s="10" t="n">
        <v>7278</v>
      </c>
      <c r="I1554" s="11" t="inlineStr">
        <is>
          <t>Mr. Md. Rakibul Hasan</t>
        </is>
      </c>
      <c r="J1554" s="10">
        <f>IF(K1554&gt;0, "Completed", "Pending")</f>
        <v/>
      </c>
      <c r="K1554" s="10">
        <f>COUNTIF('Survey Responses'!F:F, F1554)</f>
        <v/>
      </c>
    </row>
    <row r="1555">
      <c r="A1555" s="10" t="n">
        <v>1554</v>
      </c>
      <c r="B1555" s="11" t="inlineStr">
        <is>
          <t>Khulna (GEN-A)</t>
        </is>
      </c>
      <c r="C1555" s="11" t="inlineStr">
        <is>
          <t>Mr. Syed Zulhas Uddin</t>
        </is>
      </c>
      <c r="D1555" s="11" t="inlineStr">
        <is>
          <t>Khulna GEN-A-2</t>
        </is>
      </c>
      <c r="E1555" s="11" t="inlineStr">
        <is>
          <t>Mr. Shaikh Md. Saifur Rahman</t>
        </is>
      </c>
      <c r="F1555" s="10" t="n">
        <v>10408</v>
      </c>
      <c r="G1555" s="11" t="inlineStr">
        <is>
          <t>Khulna-8</t>
        </is>
      </c>
      <c r="H1555" s="10" t="n">
        <v>2818</v>
      </c>
      <c r="I1555" s="11" t="inlineStr">
        <is>
          <t>KM Nazmul Haque</t>
        </is>
      </c>
      <c r="J1555" s="10">
        <f>IF(K1555&gt;0, "Completed", "Pending")</f>
        <v/>
      </c>
      <c r="K1555" s="10">
        <f>COUNTIF('Survey Responses'!F:F, F1555)</f>
        <v/>
      </c>
    </row>
    <row r="1556">
      <c r="A1556" s="10" t="n">
        <v>1555</v>
      </c>
      <c r="B1556" s="11" t="inlineStr">
        <is>
          <t>Khulna (GEN-A)</t>
        </is>
      </c>
      <c r="C1556" s="11" t="inlineStr">
        <is>
          <t>Mr. Syed Zulhas Uddin</t>
        </is>
      </c>
      <c r="D1556" s="11" t="inlineStr">
        <is>
          <t>Khulna GEN-A-2</t>
        </is>
      </c>
      <c r="E1556" s="11" t="inlineStr">
        <is>
          <t>Mr. Shaikh Md. Saifur Rahman</t>
        </is>
      </c>
      <c r="F1556" s="10" t="n">
        <v>10402</v>
      </c>
      <c r="G1556" s="11" t="inlineStr">
        <is>
          <t>Khulna-9</t>
        </is>
      </c>
      <c r="H1556" s="10" t="n">
        <v>1915</v>
      </c>
      <c r="I1556" s="11" t="inlineStr">
        <is>
          <t>Md. Shamim Hasan</t>
        </is>
      </c>
      <c r="J1556" s="10">
        <f>IF(K1556&gt;0, "Completed", "Pending")</f>
        <v/>
      </c>
      <c r="K1556" s="10">
        <f>COUNTIF('Survey Responses'!F:F, F1556)</f>
        <v/>
      </c>
    </row>
    <row r="1557">
      <c r="A1557" s="10" t="n">
        <v>1556</v>
      </c>
      <c r="B1557" s="11" t="inlineStr">
        <is>
          <t>Khulna (GEN-A)</t>
        </is>
      </c>
      <c r="C1557" s="11" t="inlineStr">
        <is>
          <t>Mr. Syed Zulhas Uddin</t>
        </is>
      </c>
      <c r="D1557" s="11" t="inlineStr">
        <is>
          <t>Khulna GEN-A-2</t>
        </is>
      </c>
      <c r="E1557" s="11" t="inlineStr">
        <is>
          <t>Mr. Shaikh Md. Saifur Rahman</t>
        </is>
      </c>
      <c r="F1557" s="10" t="n">
        <v>10406</v>
      </c>
      <c r="G1557" s="11" t="inlineStr">
        <is>
          <t>Mongla</t>
        </is>
      </c>
      <c r="H1557" s="10" t="n">
        <v>5079</v>
      </c>
      <c r="I1557" s="11" t="inlineStr">
        <is>
          <t>Mr. Md. Tohrul Islam</t>
        </is>
      </c>
      <c r="J1557" s="10">
        <f>IF(K1557&gt;0, "Completed", "Pending")</f>
        <v/>
      </c>
      <c r="K1557" s="10">
        <f>COUNTIF('Survey Responses'!F:F, F1557)</f>
        <v/>
      </c>
    </row>
    <row r="1558">
      <c r="A1558" s="10" t="n">
        <v>1557</v>
      </c>
      <c r="B1558" s="11" t="inlineStr">
        <is>
          <t>Khulna (GEN-A)</t>
        </is>
      </c>
      <c r="C1558" s="11" t="inlineStr">
        <is>
          <t>Mr. Syed Zulhas Uddin</t>
        </is>
      </c>
      <c r="D1558" s="11" t="inlineStr">
        <is>
          <t>Khulna GEN-A-2</t>
        </is>
      </c>
      <c r="E1558" s="11" t="inlineStr">
        <is>
          <t>Mr. Shaikh Md. Saifur Rahman</t>
        </is>
      </c>
      <c r="F1558" s="10" t="n">
        <v>10404</v>
      </c>
      <c r="G1558" s="11" t="inlineStr">
        <is>
          <t>Rampal-1</t>
        </is>
      </c>
      <c r="H1558" s="10" t="n">
        <v>3258</v>
      </c>
      <c r="I1558" s="11" t="inlineStr">
        <is>
          <t>Md. Mahamudul Hasan</t>
        </is>
      </c>
      <c r="J1558" s="10">
        <f>IF(K1558&gt;0, "Completed", "Pending")</f>
        <v/>
      </c>
      <c r="K1558" s="10">
        <f>COUNTIF('Survey Responses'!F:F, F1558)</f>
        <v/>
      </c>
    </row>
    <row r="1559">
      <c r="A1559" s="10" t="n">
        <v>1558</v>
      </c>
      <c r="B1559" s="11" t="inlineStr">
        <is>
          <t>Khulna (GEN-A)</t>
        </is>
      </c>
      <c r="C1559" s="11" t="inlineStr">
        <is>
          <t>Mr. Syed Zulhas Uddin</t>
        </is>
      </c>
      <c r="D1559" s="11" t="inlineStr">
        <is>
          <t>Khulna GEN-A-2</t>
        </is>
      </c>
      <c r="E1559" s="11" t="inlineStr">
        <is>
          <t>Mr. Shaikh Md. Saifur Rahman</t>
        </is>
      </c>
      <c r="F1559" s="10" t="n">
        <v>10405</v>
      </c>
      <c r="G1559" s="11" t="inlineStr">
        <is>
          <t>Rampal-2</t>
        </is>
      </c>
      <c r="H1559" s="10" t="n">
        <v>2603</v>
      </c>
      <c r="I1559" s="11" t="inlineStr">
        <is>
          <t>Kajal Majumder</t>
        </is>
      </c>
      <c r="J1559" s="10">
        <f>IF(K1559&gt;0, "Completed", "Pending")</f>
        <v/>
      </c>
      <c r="K1559" s="10">
        <f>COUNTIF('Survey Responses'!F:F, F1559)</f>
        <v/>
      </c>
    </row>
    <row r="1560">
      <c r="A1560" s="10" t="n">
        <v>1559</v>
      </c>
      <c r="B1560" s="11" t="inlineStr">
        <is>
          <t>Khulna (GEN-A)</t>
        </is>
      </c>
      <c r="C1560" s="11" t="inlineStr">
        <is>
          <t>Mr. Syed Zulhas Uddin</t>
        </is>
      </c>
      <c r="D1560" s="11" t="inlineStr">
        <is>
          <t>Khulna GEN-A-3</t>
        </is>
      </c>
      <c r="E1560" s="11" t="inlineStr">
        <is>
          <t>Mr. Md. Kabirul Islam</t>
        </is>
      </c>
      <c r="F1560" s="10" t="n">
        <v>10403</v>
      </c>
      <c r="G1560" s="11" t="inlineStr">
        <is>
          <t>Daulatpur (Khulna)</t>
        </is>
      </c>
      <c r="H1560" s="10" t="n">
        <v>4162</v>
      </c>
      <c r="I1560" s="11" t="inlineStr">
        <is>
          <t>Mr. Shohan Parvez</t>
        </is>
      </c>
      <c r="J1560" s="10">
        <f>IF(K1560&gt;0, "Completed", "Pending")</f>
        <v/>
      </c>
      <c r="K1560" s="10">
        <f>COUNTIF('Survey Responses'!F:F, F1560)</f>
        <v/>
      </c>
    </row>
    <row r="1561">
      <c r="A1561" s="10" t="n">
        <v>1560</v>
      </c>
      <c r="B1561" s="11" t="inlineStr">
        <is>
          <t>Khulna (GEN-A)</t>
        </is>
      </c>
      <c r="C1561" s="11" t="inlineStr">
        <is>
          <t>Mr. Syed Zulhas Uddin</t>
        </is>
      </c>
      <c r="D1561" s="11" t="inlineStr">
        <is>
          <t>Khulna GEN-A-3</t>
        </is>
      </c>
      <c r="E1561" s="11" t="inlineStr">
        <is>
          <t>Mr. Md. Kabirul Islam</t>
        </is>
      </c>
      <c r="F1561" s="10" t="n">
        <v>12584</v>
      </c>
      <c r="G1561" s="11" t="inlineStr">
        <is>
          <t>Dumuria-1</t>
        </is>
      </c>
      <c r="H1561" s="10" t="n">
        <v>1577</v>
      </c>
      <c r="I1561" s="11" t="inlineStr">
        <is>
          <t>Md. Anowar Hossain</t>
        </is>
      </c>
      <c r="J1561" s="10">
        <f>IF(K1561&gt;0, "Completed", "Pending")</f>
        <v/>
      </c>
      <c r="K1561" s="10">
        <f>COUNTIF('Survey Responses'!F:F, F1561)</f>
        <v/>
      </c>
    </row>
    <row r="1562">
      <c r="A1562" s="10" t="n">
        <v>1561</v>
      </c>
      <c r="B1562" s="11" t="inlineStr">
        <is>
          <t>Khulna (GEN-A)</t>
        </is>
      </c>
      <c r="C1562" s="11" t="inlineStr">
        <is>
          <t>Mr. Syed Zulhas Uddin</t>
        </is>
      </c>
      <c r="D1562" s="11" t="inlineStr">
        <is>
          <t>Khulna GEN-A-3</t>
        </is>
      </c>
      <c r="E1562" s="11" t="inlineStr">
        <is>
          <t>Mr. Md. Kabirul Islam</t>
        </is>
      </c>
      <c r="F1562" s="10" t="n">
        <v>10416</v>
      </c>
      <c r="G1562" s="11" t="inlineStr">
        <is>
          <t>Fakirhat</t>
        </is>
      </c>
      <c r="H1562" s="10" t="n">
        <v>5044</v>
      </c>
      <c r="I1562" s="11" t="inlineStr">
        <is>
          <t>Mr. Md. Asaduzzaman</t>
        </is>
      </c>
      <c r="J1562" s="10">
        <f>IF(K1562&gt;0, "Completed", "Pending")</f>
        <v/>
      </c>
      <c r="K1562" s="10">
        <f>COUNTIF('Survey Responses'!F:F, F1562)</f>
        <v/>
      </c>
    </row>
    <row r="1563">
      <c r="A1563" s="10" t="n">
        <v>1562</v>
      </c>
      <c r="B1563" s="11" t="inlineStr">
        <is>
          <t>Khulna (GEN-A)</t>
        </is>
      </c>
      <c r="C1563" s="11" t="inlineStr">
        <is>
          <t>Mr. Syed Zulhas Uddin</t>
        </is>
      </c>
      <c r="D1563" s="11" t="inlineStr">
        <is>
          <t>Khulna GEN-A-3</t>
        </is>
      </c>
      <c r="E1563" s="11" t="inlineStr">
        <is>
          <t>Mr. Md. Kabirul Islam</t>
        </is>
      </c>
      <c r="F1563" s="10" t="n">
        <v>10399</v>
      </c>
      <c r="G1563" s="11" t="inlineStr">
        <is>
          <t>Khalishpur</t>
        </is>
      </c>
      <c r="H1563" s="10" t="n">
        <v>2476</v>
      </c>
      <c r="I1563" s="11" t="inlineStr">
        <is>
          <t>Md. Shahzahan Ali</t>
        </is>
      </c>
      <c r="J1563" s="10">
        <f>IF(K1563&gt;0, "Completed", "Pending")</f>
        <v/>
      </c>
      <c r="K1563" s="10">
        <f>COUNTIF('Survey Responses'!F:F, F1563)</f>
        <v/>
      </c>
    </row>
    <row r="1564">
      <c r="A1564" s="10" t="n">
        <v>1563</v>
      </c>
      <c r="B1564" s="11" t="inlineStr">
        <is>
          <t>Khulna (GEN-A)</t>
        </is>
      </c>
      <c r="C1564" s="11" t="inlineStr">
        <is>
          <t>Mr. Syed Zulhas Uddin</t>
        </is>
      </c>
      <c r="D1564" s="11" t="inlineStr">
        <is>
          <t>Khulna GEN-A-3</t>
        </is>
      </c>
      <c r="E1564" s="11" t="inlineStr">
        <is>
          <t>Mr. Md. Kabirul Islam</t>
        </is>
      </c>
      <c r="F1564" s="10" t="n">
        <v>10409</v>
      </c>
      <c r="G1564" s="11" t="inlineStr">
        <is>
          <t>Khulna-3</t>
        </is>
      </c>
      <c r="H1564" s="10" t="n">
        <v>8726</v>
      </c>
      <c r="I1564" s="11" t="inlineStr">
        <is>
          <t>Mr. Md. Johurul Islam</t>
        </is>
      </c>
      <c r="J1564" s="10">
        <f>IF(K1564&gt;0, "Completed", "Pending")</f>
        <v/>
      </c>
      <c r="K1564" s="10">
        <f>COUNTIF('Survey Responses'!F:F, F1564)</f>
        <v/>
      </c>
    </row>
    <row r="1565">
      <c r="A1565" s="10" t="n">
        <v>1564</v>
      </c>
      <c r="B1565" s="11" t="inlineStr">
        <is>
          <t>Khulna (GEN-A)</t>
        </is>
      </c>
      <c r="C1565" s="11" t="inlineStr">
        <is>
          <t>Mr. Syed Zulhas Uddin</t>
        </is>
      </c>
      <c r="D1565" s="11" t="inlineStr">
        <is>
          <t>Khulna GEN-A-3</t>
        </is>
      </c>
      <c r="E1565" s="11" t="inlineStr">
        <is>
          <t>Mr. Md. Kabirul Islam</t>
        </is>
      </c>
      <c r="F1565" s="10" t="n">
        <v>10395</v>
      </c>
      <c r="G1565" s="11" t="inlineStr">
        <is>
          <t>Khulna-6 (KMCH)</t>
        </is>
      </c>
      <c r="H1565" s="10" t="n">
        <v>7568</v>
      </c>
      <c r="I1565" s="11" t="inlineStr">
        <is>
          <t>Mr. Md. Shahjalal Islam</t>
        </is>
      </c>
      <c r="J1565" s="10">
        <f>IF(K1565&gt;0, "Completed", "Pending")</f>
        <v/>
      </c>
      <c r="K1565" s="10">
        <f>COUNTIF('Survey Responses'!F:F, F1565)</f>
        <v/>
      </c>
    </row>
    <row r="1566">
      <c r="A1566" s="10" t="n">
        <v>1565</v>
      </c>
      <c r="B1566" s="11" t="inlineStr">
        <is>
          <t>Khulna (GEN-A)</t>
        </is>
      </c>
      <c r="C1566" s="11" t="inlineStr">
        <is>
          <t>Mr. Syed Zulhas Uddin</t>
        </is>
      </c>
      <c r="D1566" s="11" t="inlineStr">
        <is>
          <t>Khulna GEN-A-3</t>
        </is>
      </c>
      <c r="E1566" s="11" t="inlineStr">
        <is>
          <t>Mr. Md. Kabirul Islam</t>
        </is>
      </c>
      <c r="F1566" s="10" t="n">
        <v>10396</v>
      </c>
      <c r="G1566" s="11" t="inlineStr">
        <is>
          <t>KMCH-1</t>
        </is>
      </c>
      <c r="H1566" s="10" t="n">
        <v>6281</v>
      </c>
      <c r="I1566" s="11" t="inlineStr">
        <is>
          <t>Mr. Md. Nayan Rahman</t>
        </is>
      </c>
      <c r="J1566" s="10">
        <f>IF(K1566&gt;0, "Completed", "Pending")</f>
        <v/>
      </c>
      <c r="K1566" s="10">
        <f>COUNTIF('Survey Responses'!F:F, F1566)</f>
        <v/>
      </c>
    </row>
    <row r="1567">
      <c r="A1567" s="10" t="n">
        <v>1566</v>
      </c>
      <c r="B1567" s="11" t="inlineStr">
        <is>
          <t>Khulna (GEN-A)</t>
        </is>
      </c>
      <c r="C1567" s="11" t="inlineStr">
        <is>
          <t>Mr. Syed Zulhas Uddin</t>
        </is>
      </c>
      <c r="D1567" s="11" t="inlineStr">
        <is>
          <t>Satkhira GEN-A-1</t>
        </is>
      </c>
      <c r="E1567" s="11" t="inlineStr">
        <is>
          <t>Mr. Md. Mehedi Hasan</t>
        </is>
      </c>
      <c r="F1567" s="10" t="n">
        <v>14834</v>
      </c>
      <c r="G1567" s="11" t="inlineStr">
        <is>
          <t>Koyra-1</t>
        </is>
      </c>
      <c r="H1567" s="10" t="n">
        <v>8834</v>
      </c>
      <c r="I1567" s="11" t="inlineStr">
        <is>
          <t>Mr. Sajib Islam</t>
        </is>
      </c>
      <c r="J1567" s="10">
        <f>IF(K1567&gt;0, "Completed", "Pending")</f>
        <v/>
      </c>
      <c r="K1567" s="10">
        <f>COUNTIF('Survey Responses'!F:F, F1567)</f>
        <v/>
      </c>
    </row>
    <row r="1568">
      <c r="A1568" s="10" t="n">
        <v>1567</v>
      </c>
      <c r="B1568" s="11" t="inlineStr">
        <is>
          <t>Khulna (GEN-A)</t>
        </is>
      </c>
      <c r="C1568" s="11" t="inlineStr">
        <is>
          <t>Mr. Syed Zulhas Uddin</t>
        </is>
      </c>
      <c r="D1568" s="11" t="inlineStr">
        <is>
          <t>Satkhira GEN-A-1</t>
        </is>
      </c>
      <c r="E1568" s="11" t="inlineStr">
        <is>
          <t>Mr. Md. Mehedi Hasan</t>
        </is>
      </c>
      <c r="F1568" s="10" t="n">
        <v>10425</v>
      </c>
      <c r="G1568" s="11" t="inlineStr">
        <is>
          <t>Paikgacha</t>
        </is>
      </c>
      <c r="H1568" s="10" t="n">
        <v>3293</v>
      </c>
      <c r="I1568" s="11" t="inlineStr">
        <is>
          <t>Shuvasish Bhatta</t>
        </is>
      </c>
      <c r="J1568" s="10">
        <f>IF(K1568&gt;0, "Completed", "Pending")</f>
        <v/>
      </c>
      <c r="K1568" s="10">
        <f>COUNTIF('Survey Responses'!F:F, F1568)</f>
        <v/>
      </c>
    </row>
    <row r="1569">
      <c r="A1569" s="10" t="n">
        <v>1568</v>
      </c>
      <c r="B1569" s="11" t="inlineStr">
        <is>
          <t>Khulna (GEN-A)</t>
        </is>
      </c>
      <c r="C1569" s="11" t="inlineStr">
        <is>
          <t>Mr. Syed Zulhas Uddin</t>
        </is>
      </c>
      <c r="D1569" s="11" t="inlineStr">
        <is>
          <t>Satkhira GEN-A-1</t>
        </is>
      </c>
      <c r="E1569" s="11" t="inlineStr">
        <is>
          <t>Mr. Md. Mehedi Hasan</t>
        </is>
      </c>
      <c r="F1569" s="10" t="n">
        <v>10422</v>
      </c>
      <c r="G1569" s="11" t="inlineStr">
        <is>
          <t>Patkelghata</t>
        </is>
      </c>
      <c r="H1569" s="10" t="n">
        <v>2172</v>
      </c>
      <c r="I1569" s="11" t="inlineStr">
        <is>
          <t xml:space="preserve">Md. Mizanur Rhaman </t>
        </is>
      </c>
      <c r="J1569" s="10">
        <f>IF(K1569&gt;0, "Completed", "Pending")</f>
        <v/>
      </c>
      <c r="K1569" s="10">
        <f>COUNTIF('Survey Responses'!F:F, F1569)</f>
        <v/>
      </c>
    </row>
    <row r="1570">
      <c r="A1570" s="10" t="n">
        <v>1569</v>
      </c>
      <c r="B1570" s="11" t="inlineStr">
        <is>
          <t>Khulna (GEN-A)</t>
        </is>
      </c>
      <c r="C1570" s="11" t="inlineStr">
        <is>
          <t>Mr. Syed Zulhas Uddin</t>
        </is>
      </c>
      <c r="D1570" s="11" t="inlineStr">
        <is>
          <t>Satkhira GEN-A-1</t>
        </is>
      </c>
      <c r="E1570" s="11" t="inlineStr">
        <is>
          <t>Mr. Md. Mehedi Hasan</t>
        </is>
      </c>
      <c r="F1570" s="10" t="n">
        <v>10421</v>
      </c>
      <c r="G1570" s="11" t="inlineStr">
        <is>
          <t>Satkhira-1</t>
        </is>
      </c>
      <c r="H1570" s="10" t="n">
        <v>1364</v>
      </c>
      <c r="I1570" s="11" t="inlineStr">
        <is>
          <t>Md. Abdus Salam</t>
        </is>
      </c>
      <c r="J1570" s="10">
        <f>IF(K1570&gt;0, "Completed", "Pending")</f>
        <v/>
      </c>
      <c r="K1570" s="10">
        <f>COUNTIF('Survey Responses'!F:F, F1570)</f>
        <v/>
      </c>
    </row>
    <row r="1571">
      <c r="A1571" s="10" t="n">
        <v>1570</v>
      </c>
      <c r="B1571" s="11" t="inlineStr">
        <is>
          <t>Khulna (GEN-A)</t>
        </is>
      </c>
      <c r="C1571" s="11" t="inlineStr">
        <is>
          <t>Mr. Syed Zulhas Uddin</t>
        </is>
      </c>
      <c r="D1571" s="11" t="inlineStr">
        <is>
          <t>Satkhira GEN-A-1</t>
        </is>
      </c>
      <c r="E1571" s="11" t="inlineStr">
        <is>
          <t>Mr. Md. Mehedi Hasan</t>
        </is>
      </c>
      <c r="F1571" s="10" t="n">
        <v>10418</v>
      </c>
      <c r="G1571" s="11" t="inlineStr">
        <is>
          <t>Satkhira-3</t>
        </is>
      </c>
      <c r="H1571" s="10" t="n">
        <v>3975</v>
      </c>
      <c r="I1571" s="11" t="inlineStr">
        <is>
          <t>Mr. Md. Husain Mahmud</t>
        </is>
      </c>
      <c r="J1571" s="10">
        <f>IF(K1571&gt;0, "Completed", "Pending")</f>
        <v/>
      </c>
      <c r="K1571" s="10">
        <f>COUNTIF('Survey Responses'!F:F, F1571)</f>
        <v/>
      </c>
    </row>
    <row r="1572">
      <c r="A1572" s="10" t="n">
        <v>1571</v>
      </c>
      <c r="B1572" s="11" t="inlineStr">
        <is>
          <t>Khulna (GEN-A)</t>
        </is>
      </c>
      <c r="C1572" s="11" t="inlineStr">
        <is>
          <t>Mr. Syed Zulhas Uddin</t>
        </is>
      </c>
      <c r="D1572" s="11" t="inlineStr">
        <is>
          <t>Satkhira GEN-A-1</t>
        </is>
      </c>
      <c r="E1572" s="11" t="inlineStr">
        <is>
          <t>Mr. Md. Mehedi Hasan</t>
        </is>
      </c>
      <c r="F1572" s="10" t="n">
        <v>13648</v>
      </c>
      <c r="G1572" s="11" t="inlineStr">
        <is>
          <t>Satkhira-6</t>
        </is>
      </c>
      <c r="H1572" s="10" t="n">
        <v>7279</v>
      </c>
      <c r="I1572" s="11" t="inlineStr">
        <is>
          <t>Mr. Md. Safayet Hossain</t>
        </is>
      </c>
      <c r="J1572" s="10">
        <f>IF(K1572&gt;0, "Completed", "Pending")</f>
        <v/>
      </c>
      <c r="K1572" s="10">
        <f>COUNTIF('Survey Responses'!F:F, F1572)</f>
        <v/>
      </c>
    </row>
    <row r="1573">
      <c r="A1573" s="10" t="n">
        <v>1572</v>
      </c>
      <c r="B1573" s="11" t="inlineStr">
        <is>
          <t>Khulna (GEN-A)</t>
        </is>
      </c>
      <c r="C1573" s="11" t="inlineStr">
        <is>
          <t>Mr. Syed Zulhas Uddin</t>
        </is>
      </c>
      <c r="D1573" s="11" t="inlineStr">
        <is>
          <t>Satkhira GEN-A-1</t>
        </is>
      </c>
      <c r="E1573" s="11" t="inlineStr">
        <is>
          <t>Mr. Md. Mehedi Hasan</t>
        </is>
      </c>
      <c r="F1573" s="10" t="n">
        <v>11817</v>
      </c>
      <c r="G1573" s="11" t="inlineStr">
        <is>
          <t>Tala-1</t>
        </is>
      </c>
      <c r="H1573" s="10" t="n">
        <v>2935</v>
      </c>
      <c r="I1573" s="11" t="inlineStr">
        <is>
          <t>Md. Jahidul Islam</t>
        </is>
      </c>
      <c r="J1573" s="10">
        <f>IF(K1573&gt;0, "Completed", "Pending")</f>
        <v/>
      </c>
      <c r="K1573" s="10">
        <f>COUNTIF('Survey Responses'!F:F, F1573)</f>
        <v/>
      </c>
    </row>
    <row r="1574">
      <c r="A1574" s="10" t="n">
        <v>1573</v>
      </c>
      <c r="B1574" s="11" t="inlineStr">
        <is>
          <t>Khulna (GEN-A)</t>
        </is>
      </c>
      <c r="C1574" s="11" t="inlineStr">
        <is>
          <t>Mr. Syed Zulhas Uddin</t>
        </is>
      </c>
      <c r="D1574" s="11" t="inlineStr">
        <is>
          <t>Satkhira GEN-A-2</t>
        </is>
      </c>
      <c r="E1574" s="11" t="inlineStr">
        <is>
          <t>Mr. K.M. Niaz Uddin Ahmed</t>
        </is>
      </c>
      <c r="F1574" s="10" t="n">
        <v>10427</v>
      </c>
      <c r="G1574" s="11" t="inlineStr">
        <is>
          <t>Bagachra</t>
        </is>
      </c>
      <c r="H1574" s="10" t="n">
        <v>5337</v>
      </c>
      <c r="I1574" s="11" t="inlineStr">
        <is>
          <t>Mr. Mahabul Alom</t>
        </is>
      </c>
      <c r="J1574" s="10">
        <f>IF(K1574&gt;0, "Completed", "Pending")</f>
        <v/>
      </c>
      <c r="K1574" s="10">
        <f>COUNTIF('Survey Responses'!F:F, F1574)</f>
        <v/>
      </c>
    </row>
    <row r="1575">
      <c r="A1575" s="10" t="n">
        <v>1574</v>
      </c>
      <c r="B1575" s="11" t="inlineStr">
        <is>
          <t>Khulna (GEN-A)</t>
        </is>
      </c>
      <c r="C1575" s="11" t="inlineStr">
        <is>
          <t>Mr. Syed Zulhas Uddin</t>
        </is>
      </c>
      <c r="D1575" s="11" t="inlineStr">
        <is>
          <t>Satkhira GEN-A-2</t>
        </is>
      </c>
      <c r="E1575" s="11" t="inlineStr">
        <is>
          <t>Mr. K.M. Niaz Uddin Ahmed</t>
        </is>
      </c>
      <c r="F1575" s="10" t="n">
        <v>10424</v>
      </c>
      <c r="G1575" s="11" t="inlineStr">
        <is>
          <t>Kolaroa-1</t>
        </is>
      </c>
      <c r="H1575" s="10" t="n">
        <v>1298</v>
      </c>
      <c r="I1575" s="11" t="inlineStr">
        <is>
          <t>Md. Khalak Molla</t>
        </is>
      </c>
      <c r="J1575" s="10">
        <f>IF(K1575&gt;0, "Completed", "Pending")</f>
        <v/>
      </c>
      <c r="K1575" s="10">
        <f>COUNTIF('Survey Responses'!F:F, F1575)</f>
        <v/>
      </c>
    </row>
    <row r="1576">
      <c r="A1576" s="10" t="n">
        <v>1575</v>
      </c>
      <c r="B1576" s="11" t="inlineStr">
        <is>
          <t>Khulna (GEN-A)</t>
        </is>
      </c>
      <c r="C1576" s="11" t="inlineStr">
        <is>
          <t>Mr. Syed Zulhas Uddin</t>
        </is>
      </c>
      <c r="D1576" s="11" t="inlineStr">
        <is>
          <t>Satkhira GEN-A-2</t>
        </is>
      </c>
      <c r="E1576" s="11" t="inlineStr">
        <is>
          <t>Mr. K.M. Niaz Uddin Ahmed</t>
        </is>
      </c>
      <c r="F1576" s="10" t="n">
        <v>12282</v>
      </c>
      <c r="G1576" s="11" t="inlineStr">
        <is>
          <t>Kolaroa-2</t>
        </is>
      </c>
      <c r="H1576" s="10" t="n">
        <v>3661</v>
      </c>
      <c r="I1576" s="11" t="inlineStr">
        <is>
          <t>Mr. Md. Faisalur Rahaman</t>
        </is>
      </c>
      <c r="J1576" s="10">
        <f>IF(K1576&gt;0, "Completed", "Pending")</f>
        <v/>
      </c>
      <c r="K1576" s="10">
        <f>COUNTIF('Survey Responses'!F:F, F1576)</f>
        <v/>
      </c>
    </row>
    <row r="1577">
      <c r="A1577" s="10" t="n">
        <v>1576</v>
      </c>
      <c r="B1577" s="11" t="inlineStr">
        <is>
          <t>Khulna (GEN-A)</t>
        </is>
      </c>
      <c r="C1577" s="11" t="inlineStr">
        <is>
          <t>Mr. Syed Zulhas Uddin</t>
        </is>
      </c>
      <c r="D1577" s="11" t="inlineStr">
        <is>
          <t>Satkhira GEN-A-2</t>
        </is>
      </c>
      <c r="E1577" s="11" t="inlineStr">
        <is>
          <t>Mr. K.M. Niaz Uddin Ahmed</t>
        </is>
      </c>
      <c r="F1577" s="10" t="n">
        <v>14886</v>
      </c>
      <c r="G1577" s="11" t="inlineStr">
        <is>
          <t>Kolaroa-3</t>
        </is>
      </c>
      <c r="H1577" s="10" t="n">
        <v>9048</v>
      </c>
      <c r="I1577" s="11" t="inlineStr">
        <is>
          <t>Mr. Abdul Karim</t>
        </is>
      </c>
      <c r="J1577" s="10">
        <f>IF(K1577&gt;0, "Completed", "Pending")</f>
        <v/>
      </c>
      <c r="K1577" s="10">
        <f>COUNTIF('Survey Responses'!F:F, F1577)</f>
        <v/>
      </c>
    </row>
    <row r="1578">
      <c r="A1578" s="10" t="n">
        <v>1577</v>
      </c>
      <c r="B1578" s="11" t="inlineStr">
        <is>
          <t>Khulna (GEN-A)</t>
        </is>
      </c>
      <c r="C1578" s="11" t="inlineStr">
        <is>
          <t>Mr. Syed Zulhas Uddin</t>
        </is>
      </c>
      <c r="D1578" s="11" t="inlineStr">
        <is>
          <t>Satkhira GEN-A-2</t>
        </is>
      </c>
      <c r="E1578" s="11" t="inlineStr">
        <is>
          <t>Mr. K.M. Niaz Uddin Ahmed</t>
        </is>
      </c>
      <c r="F1578" s="10" t="n">
        <v>10426</v>
      </c>
      <c r="G1578" s="11" t="inlineStr">
        <is>
          <t>Satkhira-2</t>
        </is>
      </c>
      <c r="H1578" s="10" t="n">
        <v>1302</v>
      </c>
      <c r="I1578" s="11" t="inlineStr">
        <is>
          <t>Md. Murshid Alam</t>
        </is>
      </c>
      <c r="J1578" s="10">
        <f>IF(K1578&gt;0, "Completed", "Pending")</f>
        <v/>
      </c>
      <c r="K1578" s="10">
        <f>COUNTIF('Survey Responses'!F:F, F1578)</f>
        <v/>
      </c>
    </row>
    <row r="1579">
      <c r="A1579" s="10" t="n">
        <v>1578</v>
      </c>
      <c r="B1579" s="11" t="inlineStr">
        <is>
          <t>Khulna (GEN-A)</t>
        </is>
      </c>
      <c r="C1579" s="11" t="inlineStr">
        <is>
          <t>Mr. Syed Zulhas Uddin</t>
        </is>
      </c>
      <c r="D1579" s="11" t="inlineStr">
        <is>
          <t>Satkhira GEN-A-2</t>
        </is>
      </c>
      <c r="E1579" s="11" t="inlineStr">
        <is>
          <t>Mr. K.M. Niaz Uddin Ahmed</t>
        </is>
      </c>
      <c r="F1579" s="10" t="n">
        <v>10423</v>
      </c>
      <c r="G1579" s="11" t="inlineStr">
        <is>
          <t>Satkhira-4</t>
        </is>
      </c>
      <c r="H1579" s="10" t="n">
        <v>3245</v>
      </c>
      <c r="I1579" s="11" t="inlineStr">
        <is>
          <t>Sekh Mizanur Rahman</t>
        </is>
      </c>
      <c r="J1579" s="10">
        <f>IF(K1579&gt;0, "Completed", "Pending")</f>
        <v/>
      </c>
      <c r="K1579" s="10">
        <f>COUNTIF('Survey Responses'!F:F, F1579)</f>
        <v/>
      </c>
    </row>
    <row r="1580">
      <c r="A1580" s="10" t="n">
        <v>1579</v>
      </c>
      <c r="B1580" s="11" t="inlineStr">
        <is>
          <t>Khulna (GEN-A)</t>
        </is>
      </c>
      <c r="C1580" s="11" t="inlineStr">
        <is>
          <t>Mr. Syed Zulhas Uddin</t>
        </is>
      </c>
      <c r="D1580" s="11" t="inlineStr">
        <is>
          <t>Satkhira GEN-A-2</t>
        </is>
      </c>
      <c r="E1580" s="11" t="inlineStr">
        <is>
          <t>Mr. K.M. Niaz Uddin Ahmed</t>
        </is>
      </c>
      <c r="F1580" s="10" t="n">
        <v>12945</v>
      </c>
      <c r="G1580" s="11" t="inlineStr">
        <is>
          <t>Satkhira-5</t>
        </is>
      </c>
      <c r="H1580" s="10" t="n">
        <v>5456</v>
      </c>
      <c r="I1580" s="11" t="inlineStr">
        <is>
          <t>Mr. Uttam Kumer Roy</t>
        </is>
      </c>
      <c r="J1580" s="10">
        <f>IF(K1580&gt;0, "Completed", "Pending")</f>
        <v/>
      </c>
      <c r="K1580" s="10">
        <f>COUNTIF('Survey Responses'!F:F, F1580)</f>
        <v/>
      </c>
    </row>
    <row r="1581">
      <c r="A1581" s="10" t="n">
        <v>1580</v>
      </c>
      <c r="B1581" s="11" t="inlineStr">
        <is>
          <t>Khulna (GEN-A)</t>
        </is>
      </c>
      <c r="C1581" s="11" t="inlineStr">
        <is>
          <t>Mr. Syed Zulhas Uddin</t>
        </is>
      </c>
      <c r="D1581" s="11" t="inlineStr">
        <is>
          <t>Shyamnagor GEN-A-1</t>
        </is>
      </c>
      <c r="E1581" s="11" t="inlineStr">
        <is>
          <t>Md. Waziullah Patwary</t>
        </is>
      </c>
      <c r="F1581" s="10" t="n">
        <v>12281</v>
      </c>
      <c r="G1581" s="11" t="inlineStr">
        <is>
          <t>Assasuni-1</t>
        </is>
      </c>
      <c r="H1581" s="10" t="n">
        <v>665</v>
      </c>
      <c r="I1581" s="11" t="inlineStr">
        <is>
          <t>Md. Mamun Khan</t>
        </is>
      </c>
      <c r="J1581" s="10">
        <f>IF(K1581&gt;0, "Completed", "Pending")</f>
        <v/>
      </c>
      <c r="K1581" s="10">
        <f>COUNTIF('Survey Responses'!F:F, F1581)</f>
        <v/>
      </c>
    </row>
    <row r="1582">
      <c r="A1582" s="10" t="n">
        <v>1581</v>
      </c>
      <c r="B1582" s="11" t="inlineStr">
        <is>
          <t>Khulna (GEN-A)</t>
        </is>
      </c>
      <c r="C1582" s="11" t="inlineStr">
        <is>
          <t>Mr. Syed Zulhas Uddin</t>
        </is>
      </c>
      <c r="D1582" s="11" t="inlineStr">
        <is>
          <t>Shyamnagor GEN-A-1</t>
        </is>
      </c>
      <c r="E1582" s="11" t="inlineStr">
        <is>
          <t>Md. Waziullah Patwary</t>
        </is>
      </c>
      <c r="F1582" s="10" t="n">
        <v>14822</v>
      </c>
      <c r="G1582" s="11" t="inlineStr">
        <is>
          <t>Assasuni-2</t>
        </is>
      </c>
      <c r="H1582" s="10" t="n">
        <v>8835</v>
      </c>
      <c r="I1582" s="11" t="inlineStr">
        <is>
          <t>Mr. Md. Ashikur Rahman</t>
        </is>
      </c>
      <c r="J1582" s="10">
        <f>IF(K1582&gt;0, "Completed", "Pending")</f>
        <v/>
      </c>
      <c r="K1582" s="10">
        <f>COUNTIF('Survey Responses'!F:F, F1582)</f>
        <v/>
      </c>
    </row>
    <row r="1583">
      <c r="A1583" s="10" t="n">
        <v>1582</v>
      </c>
      <c r="B1583" s="11" t="inlineStr">
        <is>
          <t>Khulna (GEN-A)</t>
        </is>
      </c>
      <c r="C1583" s="11" t="inlineStr">
        <is>
          <t>Mr. Syed Zulhas Uddin</t>
        </is>
      </c>
      <c r="D1583" s="11" t="inlineStr">
        <is>
          <t>Shyamnagor GEN-A-1</t>
        </is>
      </c>
      <c r="E1583" s="11" t="inlineStr">
        <is>
          <t>Md. Waziullah Patwary</t>
        </is>
      </c>
      <c r="F1583" s="10" t="n">
        <v>10417</v>
      </c>
      <c r="G1583" s="11" t="inlineStr">
        <is>
          <t>Nolta</t>
        </is>
      </c>
      <c r="H1583" s="10" t="n">
        <v>5197</v>
      </c>
      <c r="I1583" s="11" t="inlineStr">
        <is>
          <t>Mr. Md. Dalim Reza</t>
        </is>
      </c>
      <c r="J1583" s="10">
        <f>IF(K1583&gt;0, "Completed", "Pending")</f>
        <v/>
      </c>
      <c r="K1583" s="10">
        <f>COUNTIF('Survey Responses'!F:F, F1583)</f>
        <v/>
      </c>
    </row>
    <row r="1584">
      <c r="A1584" s="10" t="n">
        <v>1583</v>
      </c>
      <c r="B1584" s="11" t="inlineStr">
        <is>
          <t>Khulna (GEN-A)</t>
        </is>
      </c>
      <c r="C1584" s="11" t="inlineStr">
        <is>
          <t>Mr. Syed Zulhas Uddin</t>
        </is>
      </c>
      <c r="D1584" s="11" t="inlineStr">
        <is>
          <t>Shyamnagor GEN-A-1</t>
        </is>
      </c>
      <c r="E1584" s="11" t="inlineStr">
        <is>
          <t>Md. Waziullah Patwary</t>
        </is>
      </c>
      <c r="F1584" s="10" t="n">
        <v>10419</v>
      </c>
      <c r="G1584" s="11" t="inlineStr">
        <is>
          <t>Satkhira-Kaliganj</t>
        </is>
      </c>
      <c r="H1584" s="10" t="n">
        <v>8591</v>
      </c>
      <c r="I1584" s="11" t="inlineStr">
        <is>
          <t>Mr. Shuvo Chandra Barman</t>
        </is>
      </c>
      <c r="J1584" s="10">
        <f>IF(K1584&gt;0, "Completed", "Pending")</f>
        <v/>
      </c>
      <c r="K1584" s="10">
        <f>COUNTIF('Survey Responses'!F:F, F1584)</f>
        <v/>
      </c>
    </row>
    <row r="1585">
      <c r="A1585" s="10" t="n">
        <v>1584</v>
      </c>
      <c r="B1585" s="11" t="inlineStr">
        <is>
          <t>Khulna (GEN-A)</t>
        </is>
      </c>
      <c r="C1585" s="11" t="inlineStr">
        <is>
          <t>Mr. Syed Zulhas Uddin</t>
        </is>
      </c>
      <c r="D1585" s="11" t="inlineStr">
        <is>
          <t>Shyamnagor GEN-A-1</t>
        </is>
      </c>
      <c r="E1585" s="11" t="inlineStr">
        <is>
          <t>Md. Waziullah Patwary</t>
        </is>
      </c>
      <c r="F1585" s="10" t="n">
        <v>10420</v>
      </c>
      <c r="G1585" s="11" t="inlineStr">
        <is>
          <t>Shyamnagor</t>
        </is>
      </c>
      <c r="H1585" s="10" t="n">
        <v>1395</v>
      </c>
      <c r="I1585" s="11" t="inlineStr">
        <is>
          <t>Md. Lalon Hossain</t>
        </is>
      </c>
      <c r="J1585" s="10">
        <f>IF(K1585&gt;0, "Completed", "Pending")</f>
        <v/>
      </c>
      <c r="K1585" s="10">
        <f>COUNTIF('Survey Responses'!F:F, F1585)</f>
        <v/>
      </c>
    </row>
    <row r="1586">
      <c r="A1586" s="10" t="n">
        <v>1585</v>
      </c>
      <c r="B1586" s="11" t="inlineStr">
        <is>
          <t>Khulna (GEN-A)</t>
        </is>
      </c>
      <c r="C1586" s="11" t="inlineStr">
        <is>
          <t>Mr. Syed Zulhas Uddin</t>
        </is>
      </c>
      <c r="D1586" s="11" t="inlineStr">
        <is>
          <t>Shyamnagor GEN-A-1</t>
        </is>
      </c>
      <c r="E1586" s="11" t="inlineStr">
        <is>
          <t>Md. Waziullah Patwary</t>
        </is>
      </c>
      <c r="F1586" s="10" t="n">
        <v>12350</v>
      </c>
      <c r="G1586" s="11" t="inlineStr">
        <is>
          <t>Shyamnagor-2</t>
        </is>
      </c>
      <c r="H1586" s="10" t="n">
        <v>6387</v>
      </c>
      <c r="I1586" s="11" t="inlineStr">
        <is>
          <t>Mr. Md. Sajib Mridha</t>
        </is>
      </c>
      <c r="J1586" s="10">
        <f>IF(K1586&gt;0, "Completed", "Pending")</f>
        <v/>
      </c>
      <c r="K1586" s="10">
        <f>COUNTIF('Survey Responses'!F:F, F1586)</f>
        <v/>
      </c>
    </row>
    <row r="1587">
      <c r="A1587" s="10" t="n">
        <v>1586</v>
      </c>
      <c r="B1587" s="11" t="inlineStr">
        <is>
          <t>Khulna (GEN-A)</t>
        </is>
      </c>
      <c r="C1587" s="11" t="inlineStr">
        <is>
          <t>Mr. Syed Zulhas Uddin</t>
        </is>
      </c>
      <c r="D1587" s="11" t="inlineStr">
        <is>
          <t>Shyamnagor GEN-A-1</t>
        </is>
      </c>
      <c r="E1587" s="11" t="inlineStr">
        <is>
          <t>Md. Waziullah Patwary</t>
        </is>
      </c>
      <c r="F1587" s="10" t="n">
        <v>14837</v>
      </c>
      <c r="G1587" s="11" t="inlineStr">
        <is>
          <t>Shyamnagor-3</t>
        </is>
      </c>
      <c r="H1587" s="10" t="n">
        <v>8927</v>
      </c>
      <c r="I1587" s="11" t="inlineStr">
        <is>
          <t>Mr. Mosharof Hossen</t>
        </is>
      </c>
      <c r="J1587" s="10">
        <f>IF(K1587&gt;0, "Completed", "Pending")</f>
        <v/>
      </c>
      <c r="K1587" s="10">
        <f>COUNTIF('Survey Responses'!F:F, F1587)</f>
        <v/>
      </c>
    </row>
    <row r="1588">
      <c r="A1588" s="10" t="n">
        <v>1587</v>
      </c>
      <c r="B1588" s="11" t="inlineStr">
        <is>
          <t>B. Baria (GEN-A)</t>
        </is>
      </c>
      <c r="C1588" s="11" t="inlineStr">
        <is>
          <t>Mr. Sushanta Kumar Banerjee</t>
        </is>
      </c>
      <c r="D1588" s="11" t="inlineStr">
        <is>
          <t>B.Baria GEN-A-1</t>
        </is>
      </c>
      <c r="E1588" s="11" t="inlineStr">
        <is>
          <t>Mr. Md. Ashraful Alam</t>
        </is>
      </c>
      <c r="F1588" s="10" t="n">
        <v>14602</v>
      </c>
      <c r="G1588" s="11" t="inlineStr">
        <is>
          <t>B.Baria (Diabetics Hospital)</t>
        </is>
      </c>
      <c r="H1588" s="10" t="n">
        <v>7675</v>
      </c>
      <c r="I1588" s="11" t="inlineStr">
        <is>
          <t>Mr. Md. Musa Ebrahim</t>
        </is>
      </c>
      <c r="J1588" s="10">
        <f>IF(K1588&gt;0, "Completed", "Pending")</f>
        <v/>
      </c>
      <c r="K1588" s="10">
        <f>COUNTIF('Survey Responses'!F:F, F1588)</f>
        <v/>
      </c>
    </row>
    <row r="1589">
      <c r="A1589" s="10" t="n">
        <v>1588</v>
      </c>
      <c r="B1589" s="11" t="inlineStr">
        <is>
          <t>B. Baria (GEN-A)</t>
        </is>
      </c>
      <c r="C1589" s="11" t="inlineStr">
        <is>
          <t>Mr. Sushanta Kumar Banerjee</t>
        </is>
      </c>
      <c r="D1589" s="11" t="inlineStr">
        <is>
          <t>B.Baria GEN-A-1</t>
        </is>
      </c>
      <c r="E1589" s="11" t="inlineStr">
        <is>
          <t>Mr. Md. Ashraful Alam</t>
        </is>
      </c>
      <c r="F1589" s="10" t="n">
        <v>10716</v>
      </c>
      <c r="G1589" s="11" t="inlineStr">
        <is>
          <t>B.Baria (Jamuna)</t>
        </is>
      </c>
      <c r="H1589" s="10" t="n">
        <v>811</v>
      </c>
      <c r="I1589" s="11" t="inlineStr">
        <is>
          <t>Liton Kumar Shaha</t>
        </is>
      </c>
      <c r="J1589" s="10">
        <f>IF(K1589&gt;0, "Completed", "Pending")</f>
        <v/>
      </c>
      <c r="K1589" s="10">
        <f>COUNTIF('Survey Responses'!F:F, F1589)</f>
        <v/>
      </c>
    </row>
    <row r="1590">
      <c r="A1590" s="10" t="n">
        <v>1589</v>
      </c>
      <c r="B1590" s="11" t="inlineStr">
        <is>
          <t>B. Baria (GEN-A)</t>
        </is>
      </c>
      <c r="C1590" s="11" t="inlineStr">
        <is>
          <t>Mr. Sushanta Kumar Banerjee</t>
        </is>
      </c>
      <c r="D1590" s="11" t="inlineStr">
        <is>
          <t>B.Baria GEN-A-1</t>
        </is>
      </c>
      <c r="E1590" s="11" t="inlineStr">
        <is>
          <t>Mr. Md. Ashraful Alam</t>
        </is>
      </c>
      <c r="F1590" s="10" t="n">
        <v>10710</v>
      </c>
      <c r="G1590" s="11" t="inlineStr">
        <is>
          <t>B.Baria (Life Care)</t>
        </is>
      </c>
      <c r="H1590" s="10" t="n">
        <v>2235</v>
      </c>
      <c r="I1590" s="11" t="inlineStr">
        <is>
          <t>Md. Fahsin Uddin Chowdhury</t>
        </is>
      </c>
      <c r="J1590" s="10">
        <f>IF(K1590&gt;0, "Completed", "Pending")</f>
        <v/>
      </c>
      <c r="K1590" s="10">
        <f>COUNTIF('Survey Responses'!F:F, F1590)</f>
        <v/>
      </c>
    </row>
    <row r="1591">
      <c r="A1591" s="10" t="n">
        <v>1590</v>
      </c>
      <c r="B1591" s="11" t="inlineStr">
        <is>
          <t>B. Baria (GEN-A)</t>
        </is>
      </c>
      <c r="C1591" s="11" t="inlineStr">
        <is>
          <t>Mr. Sushanta Kumar Banerjee</t>
        </is>
      </c>
      <c r="D1591" s="11" t="inlineStr">
        <is>
          <t>B.Baria GEN-A-1</t>
        </is>
      </c>
      <c r="E1591" s="11" t="inlineStr">
        <is>
          <t>Mr. Md. Ashraful Alam</t>
        </is>
      </c>
      <c r="F1591" s="10" t="n">
        <v>10715</v>
      </c>
      <c r="G1591" s="11" t="inlineStr">
        <is>
          <t>B.Baria (The Bangladesh)</t>
        </is>
      </c>
      <c r="H1591" s="10" t="n">
        <v>2391</v>
      </c>
      <c r="I1591" s="11" t="inlineStr">
        <is>
          <t>Md. Abdur Rashid</t>
        </is>
      </c>
      <c r="J1591" s="10">
        <f>IF(K1591&gt;0, "Completed", "Pending")</f>
        <v/>
      </c>
      <c r="K1591" s="10">
        <f>COUNTIF('Survey Responses'!F:F, F1591)</f>
        <v/>
      </c>
    </row>
    <row r="1592">
      <c r="A1592" s="10" t="n">
        <v>1591</v>
      </c>
      <c r="B1592" s="11" t="inlineStr">
        <is>
          <t>B. Baria (GEN-A)</t>
        </is>
      </c>
      <c r="C1592" s="11" t="inlineStr">
        <is>
          <t>Mr. Sushanta Kumar Banerjee</t>
        </is>
      </c>
      <c r="D1592" s="11" t="inlineStr">
        <is>
          <t>B.Baria GEN-A-1</t>
        </is>
      </c>
      <c r="E1592" s="11" t="inlineStr">
        <is>
          <t>Mr. Md. Ashraful Alam</t>
        </is>
      </c>
      <c r="F1592" s="10" t="n">
        <v>10714</v>
      </c>
      <c r="G1592" s="11" t="inlineStr">
        <is>
          <t>B.Baria (The Lab Aid)</t>
        </is>
      </c>
      <c r="H1592" s="10" t="n">
        <v>1172</v>
      </c>
      <c r="I1592" s="11" t="inlineStr">
        <is>
          <t>Muhammad Jamal Uddin</t>
        </is>
      </c>
      <c r="J1592" s="10">
        <f>IF(K1592&gt;0, "Completed", "Pending")</f>
        <v/>
      </c>
      <c r="K1592" s="10">
        <f>COUNTIF('Survey Responses'!F:F, F1592)</f>
        <v/>
      </c>
    </row>
    <row r="1593">
      <c r="A1593" s="10" t="n">
        <v>1592</v>
      </c>
      <c r="B1593" s="11" t="inlineStr">
        <is>
          <t>B. Baria (GEN-A)</t>
        </is>
      </c>
      <c r="C1593" s="11" t="inlineStr">
        <is>
          <t>Mr. Sushanta Kumar Banerjee</t>
        </is>
      </c>
      <c r="D1593" s="11" t="inlineStr">
        <is>
          <t>B.Baria GEN-A-1</t>
        </is>
      </c>
      <c r="E1593" s="11" t="inlineStr">
        <is>
          <t>Mr. Md. Ashraful Alam</t>
        </is>
      </c>
      <c r="F1593" s="10" t="n">
        <v>13258</v>
      </c>
      <c r="G1593" s="11" t="inlineStr">
        <is>
          <t>B.Baria (The National)</t>
        </is>
      </c>
      <c r="H1593" s="10" t="n">
        <v>6869</v>
      </c>
      <c r="I1593" s="11" t="inlineStr">
        <is>
          <t>Mr. Md. Ariful Islam</t>
        </is>
      </c>
      <c r="J1593" s="10">
        <f>IF(K1593&gt;0, "Completed", "Pending")</f>
        <v/>
      </c>
      <c r="K1593" s="10">
        <f>COUNTIF('Survey Responses'!F:F, F1593)</f>
        <v/>
      </c>
    </row>
    <row r="1594">
      <c r="A1594" s="10" t="n">
        <v>1593</v>
      </c>
      <c r="B1594" s="11" t="inlineStr">
        <is>
          <t>B. Baria (GEN-A)</t>
        </is>
      </c>
      <c r="C1594" s="11" t="inlineStr">
        <is>
          <t>Mr. Sushanta Kumar Banerjee</t>
        </is>
      </c>
      <c r="D1594" s="11" t="inlineStr">
        <is>
          <t>B.Baria GEN-A-1</t>
        </is>
      </c>
      <c r="E1594" s="11" t="inlineStr">
        <is>
          <t>Mr. Md. Ashraful Alam</t>
        </is>
      </c>
      <c r="F1594" s="10" t="n">
        <v>13623</v>
      </c>
      <c r="G1594" s="11" t="inlineStr">
        <is>
          <t>Tantur Bazar-1</t>
        </is>
      </c>
      <c r="H1594" s="10" t="n">
        <v>1114</v>
      </c>
      <c r="I1594" s="11" t="inlineStr">
        <is>
          <t>Md. Musa Alam</t>
        </is>
      </c>
      <c r="J1594" s="10">
        <f>IF(K1594&gt;0, "Completed", "Pending")</f>
        <v/>
      </c>
      <c r="K1594" s="10">
        <f>COUNTIF('Survey Responses'!F:F, F1594)</f>
        <v/>
      </c>
    </row>
    <row r="1595">
      <c r="A1595" s="10" t="n">
        <v>1594</v>
      </c>
      <c r="B1595" s="11" t="inlineStr">
        <is>
          <t>B. Baria (GEN-A)</t>
        </is>
      </c>
      <c r="C1595" s="11" t="inlineStr">
        <is>
          <t>Mr. Sushanta Kumar Banerjee</t>
        </is>
      </c>
      <c r="D1595" s="11" t="inlineStr">
        <is>
          <t>B.Baria GEN-A-2</t>
        </is>
      </c>
      <c r="E1595" s="11" t="inlineStr">
        <is>
          <t>Mr. Md. Abdul Jalil Sarkar</t>
        </is>
      </c>
      <c r="F1595" s="10" t="n">
        <v>10718</v>
      </c>
      <c r="G1595" s="11" t="inlineStr">
        <is>
          <t>B.Baria (Central)</t>
        </is>
      </c>
      <c r="H1595" s="10" t="n">
        <v>6139</v>
      </c>
      <c r="I1595" s="11" t="inlineStr">
        <is>
          <t>Mr. Md. Tuhinuzzaman</t>
        </is>
      </c>
      <c r="J1595" s="10">
        <f>IF(K1595&gt;0, "Completed", "Pending")</f>
        <v/>
      </c>
      <c r="K1595" s="10">
        <f>COUNTIF('Survey Responses'!F:F, F1595)</f>
        <v/>
      </c>
    </row>
    <row r="1596">
      <c r="A1596" s="10" t="n">
        <v>1595</v>
      </c>
      <c r="B1596" s="11" t="inlineStr">
        <is>
          <t>B. Baria (GEN-A)</t>
        </is>
      </c>
      <c r="C1596" s="11" t="inlineStr">
        <is>
          <t>Mr. Sushanta Kumar Banerjee</t>
        </is>
      </c>
      <c r="D1596" s="11" t="inlineStr">
        <is>
          <t>B.Baria GEN-A-2</t>
        </is>
      </c>
      <c r="E1596" s="11" t="inlineStr">
        <is>
          <t>Mr. Md. Abdul Jalil Sarkar</t>
        </is>
      </c>
      <c r="F1596" s="10" t="n">
        <v>10720</v>
      </c>
      <c r="G1596" s="11" t="inlineStr">
        <is>
          <t>B.Baria (Hope)</t>
        </is>
      </c>
      <c r="H1596" s="10" t="n">
        <v>6421</v>
      </c>
      <c r="I1596" s="11" t="inlineStr">
        <is>
          <t>Mr. Md. Raihan Rana</t>
        </is>
      </c>
      <c r="J1596" s="10">
        <f>IF(K1596&gt;0, "Completed", "Pending")</f>
        <v/>
      </c>
      <c r="K1596" s="10">
        <f>COUNTIF('Survey Responses'!F:F, F1596)</f>
        <v/>
      </c>
    </row>
    <row r="1597">
      <c r="A1597" s="10" t="n">
        <v>1596</v>
      </c>
      <c r="B1597" s="11" t="inlineStr">
        <is>
          <t>B. Baria (GEN-A)</t>
        </is>
      </c>
      <c r="C1597" s="11" t="inlineStr">
        <is>
          <t>Mr. Sushanta Kumar Banerjee</t>
        </is>
      </c>
      <c r="D1597" s="11" t="inlineStr">
        <is>
          <t>B.Baria GEN-A-2</t>
        </is>
      </c>
      <c r="E1597" s="11" t="inlineStr">
        <is>
          <t>Mr. Md. Abdul Jalil Sarkar</t>
        </is>
      </c>
      <c r="F1597" s="10" t="n">
        <v>10717</v>
      </c>
      <c r="G1597" s="11" t="inlineStr">
        <is>
          <t>B.Baria (Naz Medical)</t>
        </is>
      </c>
      <c r="H1597" s="10" t="n">
        <v>6328</v>
      </c>
      <c r="I1597" s="11" t="inlineStr">
        <is>
          <t>Mr. Md. Rakibul Islam</t>
        </is>
      </c>
      <c r="J1597" s="10">
        <f>IF(K1597&gt;0, "Completed", "Pending")</f>
        <v/>
      </c>
      <c r="K1597" s="10">
        <f>COUNTIF('Survey Responses'!F:F, F1597)</f>
        <v/>
      </c>
    </row>
    <row r="1598">
      <c r="A1598" s="10" t="n">
        <v>1597</v>
      </c>
      <c r="B1598" s="11" t="inlineStr">
        <is>
          <t>B. Baria (GEN-A)</t>
        </is>
      </c>
      <c r="C1598" s="11" t="inlineStr">
        <is>
          <t>Mr. Sushanta Kumar Banerjee</t>
        </is>
      </c>
      <c r="D1598" s="11" t="inlineStr">
        <is>
          <t>B.Baria GEN-A-2</t>
        </is>
      </c>
      <c r="E1598" s="11" t="inlineStr">
        <is>
          <t>Mr. Md. Abdul Jalil Sarkar</t>
        </is>
      </c>
      <c r="F1598" s="10" t="n">
        <v>10719</v>
      </c>
      <c r="G1598" s="11" t="inlineStr">
        <is>
          <t>B.Baria (New Lab Aid)</t>
        </is>
      </c>
      <c r="H1598" s="10" t="n">
        <v>2919</v>
      </c>
      <c r="I1598" s="11" t="inlineStr">
        <is>
          <t>Mr. Ariful Islam</t>
        </is>
      </c>
      <c r="J1598" s="10">
        <f>IF(K1598&gt;0, "Completed", "Pending")</f>
        <v/>
      </c>
      <c r="K1598" s="10">
        <f>COUNTIF('Survey Responses'!F:F, F1598)</f>
        <v/>
      </c>
    </row>
    <row r="1599">
      <c r="A1599" s="10" t="n">
        <v>1598</v>
      </c>
      <c r="B1599" s="11" t="inlineStr">
        <is>
          <t>B. Baria (GEN-A)</t>
        </is>
      </c>
      <c r="C1599" s="11" t="inlineStr">
        <is>
          <t>Mr. Sushanta Kumar Banerjee</t>
        </is>
      </c>
      <c r="D1599" s="11" t="inlineStr">
        <is>
          <t>B.Baria GEN-A-2</t>
        </is>
      </c>
      <c r="E1599" s="11" t="inlineStr">
        <is>
          <t>Mr. Md. Abdul Jalil Sarkar</t>
        </is>
      </c>
      <c r="F1599" s="10" t="n">
        <v>10711</v>
      </c>
      <c r="G1599" s="11" t="inlineStr">
        <is>
          <t>B.Baria (New Square)</t>
        </is>
      </c>
      <c r="H1599" s="10" t="n">
        <v>1285</v>
      </c>
      <c r="I1599" s="11" t="inlineStr">
        <is>
          <t>Muhammad Shamim Hasan</t>
        </is>
      </c>
      <c r="J1599" s="10">
        <f>IF(K1599&gt;0, "Completed", "Pending")</f>
        <v/>
      </c>
      <c r="K1599" s="10">
        <f>COUNTIF('Survey Responses'!F:F, F1599)</f>
        <v/>
      </c>
    </row>
    <row r="1600">
      <c r="A1600" s="10" t="n">
        <v>1599</v>
      </c>
      <c r="B1600" s="11" t="inlineStr">
        <is>
          <t>B. Baria (GEN-A)</t>
        </is>
      </c>
      <c r="C1600" s="11" t="inlineStr">
        <is>
          <t>Mr. Sushanta Kumar Banerjee</t>
        </is>
      </c>
      <c r="D1600" s="11" t="inlineStr">
        <is>
          <t>B.Baria GEN-A-2</t>
        </is>
      </c>
      <c r="E1600" s="11" t="inlineStr">
        <is>
          <t>Mr. Md. Abdul Jalil Sarkar</t>
        </is>
      </c>
      <c r="F1600" s="10" t="n">
        <v>13090</v>
      </c>
      <c r="G1600" s="11" t="inlineStr">
        <is>
          <t>B.Baria (Patient Care)</t>
        </is>
      </c>
      <c r="H1600" s="10" t="n">
        <v>6283</v>
      </c>
      <c r="I1600" s="11" t="inlineStr">
        <is>
          <t>Mr. Md. Lutfar Rahman</t>
        </is>
      </c>
      <c r="J1600" s="10">
        <f>IF(K1600&gt;0, "Completed", "Pending")</f>
        <v/>
      </c>
      <c r="K1600" s="10">
        <f>COUNTIF('Survey Responses'!F:F, F1600)</f>
        <v/>
      </c>
    </row>
    <row r="1601">
      <c r="A1601" s="10" t="n">
        <v>1600</v>
      </c>
      <c r="B1601" s="11" t="inlineStr">
        <is>
          <t>B. Baria (GEN-A)</t>
        </is>
      </c>
      <c r="C1601" s="11" t="inlineStr">
        <is>
          <t>Mr. Sushanta Kumar Banerjee</t>
        </is>
      </c>
      <c r="D1601" s="11" t="inlineStr">
        <is>
          <t>B.Baria GEN-A-2</t>
        </is>
      </c>
      <c r="E1601" s="11" t="inlineStr">
        <is>
          <t>Mr. Md. Abdul Jalil Sarkar</t>
        </is>
      </c>
      <c r="F1601" s="10" t="n">
        <v>10713</v>
      </c>
      <c r="G1601" s="11" t="inlineStr">
        <is>
          <t>B.Baria (The Albaraka)</t>
        </is>
      </c>
      <c r="H1601" s="10" t="n">
        <v>6422</v>
      </c>
      <c r="I1601" s="11" t="inlineStr">
        <is>
          <t>Mr. Md. Musharof Hossen</t>
        </is>
      </c>
      <c r="J1601" s="10">
        <f>IF(K1601&gt;0, "Completed", "Pending")</f>
        <v/>
      </c>
      <c r="K1601" s="10">
        <f>COUNTIF('Survey Responses'!F:F, F1601)</f>
        <v/>
      </c>
    </row>
    <row r="1602">
      <c r="A1602" s="10" t="n">
        <v>1601</v>
      </c>
      <c r="B1602" s="11" t="inlineStr">
        <is>
          <t>B. Baria (GEN-A)</t>
        </is>
      </c>
      <c r="C1602" s="11" t="inlineStr">
        <is>
          <t>Mr. Sushanta Kumar Banerjee</t>
        </is>
      </c>
      <c r="D1602" s="11" t="inlineStr">
        <is>
          <t>Habigonj GEN-A-1</t>
        </is>
      </c>
      <c r="E1602" s="11" t="inlineStr">
        <is>
          <t>Mr. Md. Ashraf Ali</t>
        </is>
      </c>
      <c r="F1602" s="10" t="n">
        <v>10691</v>
      </c>
      <c r="G1602" s="11" t="inlineStr">
        <is>
          <t>Baniachong-1</t>
        </is>
      </c>
      <c r="H1602" s="10" t="n">
        <v>617</v>
      </c>
      <c r="I1602" s="11" t="inlineStr">
        <is>
          <t>Kallol Nandi</t>
        </is>
      </c>
      <c r="J1602" s="10">
        <f>IF(K1602&gt;0, "Completed", "Pending")</f>
        <v/>
      </c>
      <c r="K1602" s="10">
        <f>COUNTIF('Survey Responses'!F:F, F1602)</f>
        <v/>
      </c>
    </row>
    <row r="1603">
      <c r="A1603" s="10" t="n">
        <v>1602</v>
      </c>
      <c r="B1603" s="11" t="inlineStr">
        <is>
          <t>B. Baria (GEN-A)</t>
        </is>
      </c>
      <c r="C1603" s="11" t="inlineStr">
        <is>
          <t>Mr. Sushanta Kumar Banerjee</t>
        </is>
      </c>
      <c r="D1603" s="11" t="inlineStr">
        <is>
          <t>Habigonj GEN-A-1</t>
        </is>
      </c>
      <c r="E1603" s="11" t="inlineStr">
        <is>
          <t>Mr. Md. Ashraf Ali</t>
        </is>
      </c>
      <c r="F1603" s="10" t="n">
        <v>12957</v>
      </c>
      <c r="G1603" s="11" t="inlineStr">
        <is>
          <t>Baniachong-2</t>
        </is>
      </c>
      <c r="H1603" s="10" t="n">
        <v>5193</v>
      </c>
      <c r="I1603" s="11" t="inlineStr">
        <is>
          <t>Mr. Md. Shazon Pramanik</t>
        </is>
      </c>
      <c r="J1603" s="10">
        <f>IF(K1603&gt;0, "Completed", "Pending")</f>
        <v/>
      </c>
      <c r="K1603" s="10">
        <f>COUNTIF('Survey Responses'!F:F, F1603)</f>
        <v/>
      </c>
    </row>
    <row r="1604">
      <c r="A1604" s="10" t="n">
        <v>1603</v>
      </c>
      <c r="B1604" s="11" t="inlineStr">
        <is>
          <t>B. Baria (GEN-A)</t>
        </is>
      </c>
      <c r="C1604" s="11" t="inlineStr">
        <is>
          <t>Mr. Sushanta Kumar Banerjee</t>
        </is>
      </c>
      <c r="D1604" s="11" t="inlineStr">
        <is>
          <t>Habigonj GEN-A-1</t>
        </is>
      </c>
      <c r="E1604" s="11" t="inlineStr">
        <is>
          <t>Mr. Md. Ashraf Ali</t>
        </is>
      </c>
      <c r="F1604" s="10" t="n">
        <v>10686</v>
      </c>
      <c r="G1604" s="11" t="inlineStr">
        <is>
          <t>Habiganj-1</t>
        </is>
      </c>
      <c r="H1604" s="10" t="n">
        <v>1956</v>
      </c>
      <c r="I1604" s="11" t="inlineStr">
        <is>
          <t>Md. Ilias</t>
        </is>
      </c>
      <c r="J1604" s="10">
        <f>IF(K1604&gt;0, "Completed", "Pending")</f>
        <v/>
      </c>
      <c r="K1604" s="10">
        <f>COUNTIF('Survey Responses'!F:F, F1604)</f>
        <v/>
      </c>
    </row>
    <row r="1605">
      <c r="A1605" s="10" t="n">
        <v>1604</v>
      </c>
      <c r="B1605" s="11" t="inlineStr">
        <is>
          <t>B. Baria (GEN-A)</t>
        </is>
      </c>
      <c r="C1605" s="11" t="inlineStr">
        <is>
          <t>Mr. Sushanta Kumar Banerjee</t>
        </is>
      </c>
      <c r="D1605" s="11" t="inlineStr">
        <is>
          <t>Habigonj GEN-A-1</t>
        </is>
      </c>
      <c r="E1605" s="11" t="inlineStr">
        <is>
          <t>Mr. Md. Ashraf Ali</t>
        </is>
      </c>
      <c r="F1605" s="10" t="n">
        <v>10685</v>
      </c>
      <c r="G1605" s="11" t="inlineStr">
        <is>
          <t>Habiganj-3</t>
        </is>
      </c>
      <c r="H1605" s="10" t="n">
        <v>6168</v>
      </c>
      <c r="I1605" s="11" t="inlineStr">
        <is>
          <t>Mr. Md. Azidul Islam</t>
        </is>
      </c>
      <c r="J1605" s="10">
        <f>IF(K1605&gt;0, "Completed", "Pending")</f>
        <v/>
      </c>
      <c r="K1605" s="10">
        <f>COUNTIF('Survey Responses'!F:F, F1605)</f>
        <v/>
      </c>
    </row>
    <row r="1606">
      <c r="A1606" s="10" t="n">
        <v>1605</v>
      </c>
      <c r="B1606" s="11" t="inlineStr">
        <is>
          <t>B. Baria (GEN-A)</t>
        </is>
      </c>
      <c r="C1606" s="11" t="inlineStr">
        <is>
          <t>Mr. Sushanta Kumar Banerjee</t>
        </is>
      </c>
      <c r="D1606" s="11" t="inlineStr">
        <is>
          <t>Habigonj GEN-A-1</t>
        </is>
      </c>
      <c r="E1606" s="11" t="inlineStr">
        <is>
          <t>Mr. Md. Ashraf Ali</t>
        </is>
      </c>
      <c r="F1606" s="10" t="n">
        <v>10690</v>
      </c>
      <c r="G1606" s="11" t="inlineStr">
        <is>
          <t>Habiganj-5</t>
        </is>
      </c>
      <c r="H1606" s="10" t="n">
        <v>1138</v>
      </c>
      <c r="I1606" s="11" t="inlineStr">
        <is>
          <t>Md. Shahidul Islam</t>
        </is>
      </c>
      <c r="J1606" s="10">
        <f>IF(K1606&gt;0, "Completed", "Pending")</f>
        <v/>
      </c>
      <c r="K1606" s="10">
        <f>COUNTIF('Survey Responses'!F:F, F1606)</f>
        <v/>
      </c>
    </row>
    <row r="1607">
      <c r="A1607" s="10" t="n">
        <v>1606</v>
      </c>
      <c r="B1607" s="11" t="inlineStr">
        <is>
          <t>B. Baria (GEN-A)</t>
        </is>
      </c>
      <c r="C1607" s="11" t="inlineStr">
        <is>
          <t>Mr. Sushanta Kumar Banerjee</t>
        </is>
      </c>
      <c r="D1607" s="11" t="inlineStr">
        <is>
          <t>Habigonj GEN-A-1</t>
        </is>
      </c>
      <c r="E1607" s="11" t="inlineStr">
        <is>
          <t>Mr. Md. Ashraf Ali</t>
        </is>
      </c>
      <c r="F1607" s="10" t="n">
        <v>14877</v>
      </c>
      <c r="G1607" s="11" t="inlineStr">
        <is>
          <t>Olipur-1</t>
        </is>
      </c>
      <c r="H1607" s="10" t="n">
        <v>9001</v>
      </c>
      <c r="I1607" s="11" t="inlineStr">
        <is>
          <t>Mr. Md. Nurul Islam Nahid</t>
        </is>
      </c>
      <c r="J1607" s="10">
        <f>IF(K1607&gt;0, "Completed", "Pending")</f>
        <v/>
      </c>
      <c r="K1607" s="10">
        <f>COUNTIF('Survey Responses'!F:F, F1607)</f>
        <v/>
      </c>
    </row>
    <row r="1608">
      <c r="A1608" s="10" t="n">
        <v>1607</v>
      </c>
      <c r="B1608" s="11" t="inlineStr">
        <is>
          <t>B. Baria (GEN-A)</t>
        </is>
      </c>
      <c r="C1608" s="11" t="inlineStr">
        <is>
          <t>Mr. Sushanta Kumar Banerjee</t>
        </is>
      </c>
      <c r="D1608" s="11" t="inlineStr">
        <is>
          <t>Habigonj GEN-A-1</t>
        </is>
      </c>
      <c r="E1608" s="11" t="inlineStr">
        <is>
          <t>Mr. Md. Ashraf Ali</t>
        </is>
      </c>
      <c r="F1608" s="10" t="n">
        <v>10696</v>
      </c>
      <c r="G1608" s="11" t="inlineStr">
        <is>
          <t>Saestagonj</t>
        </is>
      </c>
      <c r="H1608" s="10" t="n">
        <v>3966</v>
      </c>
      <c r="I1608" s="11" t="inlineStr">
        <is>
          <t>Mr. Ashraful Alom</t>
        </is>
      </c>
      <c r="J1608" s="10">
        <f>IF(K1608&gt;0, "Completed", "Pending")</f>
        <v/>
      </c>
      <c r="K1608" s="10">
        <f>COUNTIF('Survey Responses'!F:F, F1608)</f>
        <v/>
      </c>
    </row>
    <row r="1609">
      <c r="A1609" s="10" t="n">
        <v>1608</v>
      </c>
      <c r="B1609" s="11" t="inlineStr">
        <is>
          <t>B. Baria (GEN-A)</t>
        </is>
      </c>
      <c r="C1609" s="11" t="inlineStr">
        <is>
          <t>Mr. Sushanta Kumar Banerjee</t>
        </is>
      </c>
      <c r="D1609" s="11" t="inlineStr">
        <is>
          <t>Habigonj GEN-A-2</t>
        </is>
      </c>
      <c r="E1609" s="11" t="inlineStr">
        <is>
          <t>Md. Mohiuddin Ahmed</t>
        </is>
      </c>
      <c r="F1609" s="10" t="n">
        <v>10689</v>
      </c>
      <c r="G1609" s="11" t="inlineStr">
        <is>
          <t>Habiganj-2</t>
        </is>
      </c>
      <c r="H1609" s="10" t="n">
        <v>2787</v>
      </c>
      <c r="I1609" s="11" t="inlineStr">
        <is>
          <t>Md. Mukul Hossain</t>
        </is>
      </c>
      <c r="J1609" s="10">
        <f>IF(K1609&gt;0, "Completed", "Pending")</f>
        <v/>
      </c>
      <c r="K1609" s="10">
        <f>COUNTIF('Survey Responses'!F:F, F1609)</f>
        <v/>
      </c>
    </row>
    <row r="1610">
      <c r="A1610" s="10" t="n">
        <v>1609</v>
      </c>
      <c r="B1610" s="11" t="inlineStr">
        <is>
          <t>B. Baria (GEN-A)</t>
        </is>
      </c>
      <c r="C1610" s="11" t="inlineStr">
        <is>
          <t>Mr. Sushanta Kumar Banerjee</t>
        </is>
      </c>
      <c r="D1610" s="11" t="inlineStr">
        <is>
          <t>Habigonj GEN-A-2</t>
        </is>
      </c>
      <c r="E1610" s="11" t="inlineStr">
        <is>
          <t>Md. Mohiuddin Ahmed</t>
        </is>
      </c>
      <c r="F1610" s="10" t="n">
        <v>10688</v>
      </c>
      <c r="G1610" s="11" t="inlineStr">
        <is>
          <t>Habiganj-4</t>
        </is>
      </c>
      <c r="H1610" s="10" t="n">
        <v>5687</v>
      </c>
      <c r="I1610" s="11" t="inlineStr">
        <is>
          <t>Mr. Milton Khandoker</t>
        </is>
      </c>
      <c r="J1610" s="10">
        <f>IF(K1610&gt;0, "Completed", "Pending")</f>
        <v/>
      </c>
      <c r="K1610" s="10">
        <f>COUNTIF('Survey Responses'!F:F, F1610)</f>
        <v/>
      </c>
    </row>
    <row r="1611">
      <c r="A1611" s="10" t="n">
        <v>1610</v>
      </c>
      <c r="B1611" s="11" t="inlineStr">
        <is>
          <t>B. Baria (GEN-A)</t>
        </is>
      </c>
      <c r="C1611" s="11" t="inlineStr">
        <is>
          <t>Mr. Sushanta Kumar Banerjee</t>
        </is>
      </c>
      <c r="D1611" s="11" t="inlineStr">
        <is>
          <t>Habigonj GEN-A-2</t>
        </is>
      </c>
      <c r="E1611" s="11" t="inlineStr">
        <is>
          <t>Md. Mohiuddin Ahmed</t>
        </is>
      </c>
      <c r="F1611" s="10" t="n">
        <v>13191</v>
      </c>
      <c r="G1611" s="11" t="inlineStr">
        <is>
          <t>Habiganj-6</t>
        </is>
      </c>
      <c r="H1611" s="10" t="n">
        <v>5807</v>
      </c>
      <c r="I1611" s="11" t="inlineStr">
        <is>
          <t>Mr. Mafujur Rahman</t>
        </is>
      </c>
      <c r="J1611" s="10">
        <f>IF(K1611&gt;0, "Completed", "Pending")</f>
        <v/>
      </c>
      <c r="K1611" s="10">
        <f>COUNTIF('Survey Responses'!F:F, F1611)</f>
        <v/>
      </c>
    </row>
    <row r="1612">
      <c r="A1612" s="10" t="n">
        <v>1611</v>
      </c>
      <c r="B1612" s="11" t="inlineStr">
        <is>
          <t>B. Baria (GEN-A)</t>
        </is>
      </c>
      <c r="C1612" s="11" t="inlineStr">
        <is>
          <t>Mr. Sushanta Kumar Banerjee</t>
        </is>
      </c>
      <c r="D1612" s="11" t="inlineStr">
        <is>
          <t>Habigonj GEN-A-2</t>
        </is>
      </c>
      <c r="E1612" s="11" t="inlineStr">
        <is>
          <t>Md. Mohiuddin Ahmed</t>
        </is>
      </c>
      <c r="F1612" s="10" t="n">
        <v>14849</v>
      </c>
      <c r="G1612" s="11" t="inlineStr">
        <is>
          <t>Habiganj-7</t>
        </is>
      </c>
      <c r="H1612" s="10" t="n">
        <v>8943</v>
      </c>
      <c r="I1612" s="11" t="inlineStr">
        <is>
          <t>Mr. Md. Razib Sorder</t>
        </is>
      </c>
      <c r="J1612" s="10">
        <f>IF(K1612&gt;0, "Completed", "Pending")</f>
        <v/>
      </c>
      <c r="K1612" s="10">
        <f>COUNTIF('Survey Responses'!F:F, F1612)</f>
        <v/>
      </c>
    </row>
    <row r="1613">
      <c r="A1613" s="10" t="n">
        <v>1612</v>
      </c>
      <c r="B1613" s="11" t="inlineStr">
        <is>
          <t>B. Baria (GEN-A)</t>
        </is>
      </c>
      <c r="C1613" s="11" t="inlineStr">
        <is>
          <t>Mr. Sushanta Kumar Banerjee</t>
        </is>
      </c>
      <c r="D1613" s="11" t="inlineStr">
        <is>
          <t>Habigonj GEN-A-2</t>
        </is>
      </c>
      <c r="E1613" s="11" t="inlineStr">
        <is>
          <t>Md. Mohiuddin Ahmed</t>
        </is>
      </c>
      <c r="F1613" s="10" t="n">
        <v>12956</v>
      </c>
      <c r="G1613" s="11" t="inlineStr">
        <is>
          <t>Lakhai-1</t>
        </is>
      </c>
      <c r="H1613" s="10" t="n">
        <v>3952</v>
      </c>
      <c r="I1613" s="11" t="inlineStr">
        <is>
          <t>Mr. Md. Rabius Sany</t>
        </is>
      </c>
      <c r="J1613" s="10">
        <f>IF(K1613&gt;0, "Completed", "Pending")</f>
        <v/>
      </c>
      <c r="K1613" s="10">
        <f>COUNTIF('Survey Responses'!F:F, F1613)</f>
        <v/>
      </c>
    </row>
    <row r="1614">
      <c r="A1614" s="10" t="n">
        <v>1613</v>
      </c>
      <c r="B1614" s="11" t="inlineStr">
        <is>
          <t>B. Baria (GEN-A)</t>
        </is>
      </c>
      <c r="C1614" s="11" t="inlineStr">
        <is>
          <t>Mr. Sushanta Kumar Banerjee</t>
        </is>
      </c>
      <c r="D1614" s="11" t="inlineStr">
        <is>
          <t>Habigonj GEN-A-2</t>
        </is>
      </c>
      <c r="E1614" s="11" t="inlineStr">
        <is>
          <t>Md. Mohiuddin Ahmed</t>
        </is>
      </c>
      <c r="F1614" s="10" t="n">
        <v>10697</v>
      </c>
      <c r="G1614" s="11" t="inlineStr">
        <is>
          <t>Nasirnagor-1</t>
        </is>
      </c>
      <c r="H1614" s="10" t="n">
        <v>1294</v>
      </c>
      <c r="I1614" s="11" t="inlineStr">
        <is>
          <t>Md. Nazmul Islam</t>
        </is>
      </c>
      <c r="J1614" s="10">
        <f>IF(K1614&gt;0, "Completed", "Pending")</f>
        <v/>
      </c>
      <c r="K1614" s="10">
        <f>COUNTIF('Survey Responses'!F:F, F1614)</f>
        <v/>
      </c>
    </row>
    <row r="1615">
      <c r="A1615" s="10" t="n">
        <v>1614</v>
      </c>
      <c r="B1615" s="11" t="inlineStr">
        <is>
          <t>B. Baria (GEN-A)</t>
        </is>
      </c>
      <c r="C1615" s="11" t="inlineStr">
        <is>
          <t>Mr. Sushanta Kumar Banerjee</t>
        </is>
      </c>
      <c r="D1615" s="11" t="inlineStr">
        <is>
          <t>Habigonj GEN-A-2</t>
        </is>
      </c>
      <c r="E1615" s="11" t="inlineStr">
        <is>
          <t>Md. Mohiuddin Ahmed</t>
        </is>
      </c>
      <c r="F1615" s="10" t="n">
        <v>12680</v>
      </c>
      <c r="G1615" s="11" t="inlineStr">
        <is>
          <t>Nasirnagor-2</t>
        </is>
      </c>
      <c r="H1615" s="10" t="n">
        <v>4176</v>
      </c>
      <c r="I1615" s="11" t="inlineStr">
        <is>
          <t>Mr. Asaduzzaman</t>
        </is>
      </c>
      <c r="J1615" s="10">
        <f>IF(K1615&gt;0, "Completed", "Pending")</f>
        <v/>
      </c>
      <c r="K1615" s="10">
        <f>COUNTIF('Survey Responses'!F:F, F1615)</f>
        <v/>
      </c>
    </row>
    <row r="1616">
      <c r="A1616" s="10" t="n">
        <v>1615</v>
      </c>
      <c r="B1616" s="11" t="inlineStr">
        <is>
          <t>B. Baria (GEN-A)</t>
        </is>
      </c>
      <c r="C1616" s="11" t="inlineStr">
        <is>
          <t>Mr. Sushanta Kumar Banerjee</t>
        </is>
      </c>
      <c r="D1616" s="11" t="inlineStr">
        <is>
          <t>Kosba GEN-A-1</t>
        </is>
      </c>
      <c r="E1616" s="11" t="inlineStr">
        <is>
          <t>Mr. Md. Ruhul Amin</t>
        </is>
      </c>
      <c r="F1616" s="10" t="n">
        <v>10709</v>
      </c>
      <c r="G1616" s="11" t="inlineStr">
        <is>
          <t>Akhaura-1</t>
        </is>
      </c>
      <c r="H1616" s="10" t="n">
        <v>2737</v>
      </c>
      <c r="I1616" s="11" t="inlineStr">
        <is>
          <t>Jiban Chandra Roy</t>
        </is>
      </c>
      <c r="J1616" s="10">
        <f>IF(K1616&gt;0, "Completed", "Pending")</f>
        <v/>
      </c>
      <c r="K1616" s="10">
        <f>COUNTIF('Survey Responses'!F:F, F1616)</f>
        <v/>
      </c>
    </row>
    <row r="1617">
      <c r="A1617" s="10" t="n">
        <v>1616</v>
      </c>
      <c r="B1617" s="11" t="inlineStr">
        <is>
          <t>B. Baria (GEN-A)</t>
        </is>
      </c>
      <c r="C1617" s="11" t="inlineStr">
        <is>
          <t>Mr. Sushanta Kumar Banerjee</t>
        </is>
      </c>
      <c r="D1617" s="11" t="inlineStr">
        <is>
          <t>Kosba GEN-A-1</t>
        </is>
      </c>
      <c r="E1617" s="11" t="inlineStr">
        <is>
          <t>Mr. Md. Ruhul Amin</t>
        </is>
      </c>
      <c r="F1617" s="10" t="n">
        <v>12679</v>
      </c>
      <c r="G1617" s="11" t="inlineStr">
        <is>
          <t>Akhaura-2</t>
        </is>
      </c>
      <c r="H1617" s="10" t="n">
        <v>5671</v>
      </c>
      <c r="I1617" s="11" t="inlineStr">
        <is>
          <t>Mr. Md. Aminul Islam</t>
        </is>
      </c>
      <c r="J1617" s="10">
        <f>IF(K1617&gt;0, "Completed", "Pending")</f>
        <v/>
      </c>
      <c r="K1617" s="10">
        <f>COUNTIF('Survey Responses'!F:F, F1617)</f>
        <v/>
      </c>
    </row>
    <row r="1618">
      <c r="A1618" s="10" t="n">
        <v>1617</v>
      </c>
      <c r="B1618" s="11" t="inlineStr">
        <is>
          <t>B. Baria (GEN-A)</t>
        </is>
      </c>
      <c r="C1618" s="11" t="inlineStr">
        <is>
          <t>Mr. Sushanta Kumar Banerjee</t>
        </is>
      </c>
      <c r="D1618" s="11" t="inlineStr">
        <is>
          <t>Kosba GEN-A-1</t>
        </is>
      </c>
      <c r="E1618" s="11" t="inlineStr">
        <is>
          <t>Mr. Md. Ruhul Amin</t>
        </is>
      </c>
      <c r="F1618" s="10" t="n">
        <v>10705</v>
      </c>
      <c r="G1618" s="11" t="inlineStr">
        <is>
          <t>Kosba-1</t>
        </is>
      </c>
      <c r="H1618" s="10" t="n">
        <v>948</v>
      </c>
      <c r="I1618" s="11" t="inlineStr">
        <is>
          <t>Md. Fazlul Hoque</t>
        </is>
      </c>
      <c r="J1618" s="10">
        <f>IF(K1618&gt;0, "Completed", "Pending")</f>
        <v/>
      </c>
      <c r="K1618" s="10">
        <f>COUNTIF('Survey Responses'!F:F, F1618)</f>
        <v/>
      </c>
    </row>
    <row r="1619">
      <c r="A1619" s="10" t="n">
        <v>1618</v>
      </c>
      <c r="B1619" s="11" t="inlineStr">
        <is>
          <t>B. Baria (GEN-A)</t>
        </is>
      </c>
      <c r="C1619" s="11" t="inlineStr">
        <is>
          <t>Mr. Sushanta Kumar Banerjee</t>
        </is>
      </c>
      <c r="D1619" s="11" t="inlineStr">
        <is>
          <t>Kosba GEN-A-1</t>
        </is>
      </c>
      <c r="E1619" s="11" t="inlineStr">
        <is>
          <t>Mr. Md. Ruhul Amin</t>
        </is>
      </c>
      <c r="F1619" s="10" t="n">
        <v>10706</v>
      </c>
      <c r="G1619" s="11" t="inlineStr">
        <is>
          <t>Kosba-2</t>
        </is>
      </c>
      <c r="H1619" s="10" t="n">
        <v>1140</v>
      </c>
      <c r="I1619" s="11" t="inlineStr">
        <is>
          <t>Md. Robiul Islam</t>
        </is>
      </c>
      <c r="J1619" s="10">
        <f>IF(K1619&gt;0, "Completed", "Pending")</f>
        <v/>
      </c>
      <c r="K1619" s="10">
        <f>COUNTIF('Survey Responses'!F:F, F1619)</f>
        <v/>
      </c>
    </row>
    <row r="1620">
      <c r="A1620" s="10" t="n">
        <v>1619</v>
      </c>
      <c r="B1620" s="11" t="inlineStr">
        <is>
          <t>B. Baria (GEN-A)</t>
        </is>
      </c>
      <c r="C1620" s="11" t="inlineStr">
        <is>
          <t>Mr. Sushanta Kumar Banerjee</t>
        </is>
      </c>
      <c r="D1620" s="11" t="inlineStr">
        <is>
          <t>Kosba GEN-A-1</t>
        </is>
      </c>
      <c r="E1620" s="11" t="inlineStr">
        <is>
          <t>Mr. Md. Ruhul Amin</t>
        </is>
      </c>
      <c r="F1620" s="10" t="n">
        <v>12223</v>
      </c>
      <c r="G1620" s="11" t="inlineStr">
        <is>
          <t>Kosba-3</t>
        </is>
      </c>
      <c r="H1620" s="10" t="n">
        <v>3603</v>
      </c>
      <c r="I1620" s="11" t="inlineStr">
        <is>
          <t>Mr. Ram Chandra Karmaker</t>
        </is>
      </c>
      <c r="J1620" s="10">
        <f>IF(K1620&gt;0, "Completed", "Pending")</f>
        <v/>
      </c>
      <c r="K1620" s="10">
        <f>COUNTIF('Survey Responses'!F:F, F1620)</f>
        <v/>
      </c>
    </row>
    <row r="1621">
      <c r="A1621" s="10" t="n">
        <v>1620</v>
      </c>
      <c r="B1621" s="11" t="inlineStr">
        <is>
          <t>B. Baria (GEN-A)</t>
        </is>
      </c>
      <c r="C1621" s="11" t="inlineStr">
        <is>
          <t>Mr. Sushanta Kumar Banerjee</t>
        </is>
      </c>
      <c r="D1621" s="11" t="inlineStr">
        <is>
          <t>Kosba GEN-A-1</t>
        </is>
      </c>
      <c r="E1621" s="11" t="inlineStr">
        <is>
          <t>Mr. Md. Ruhul Amin</t>
        </is>
      </c>
      <c r="F1621" s="10" t="n">
        <v>10708</v>
      </c>
      <c r="G1621" s="11" t="inlineStr">
        <is>
          <t>Kuti-1</t>
        </is>
      </c>
      <c r="H1621" s="10" t="n">
        <v>1231</v>
      </c>
      <c r="I1621" s="11" t="inlineStr">
        <is>
          <t>Md. Badiuzzaman</t>
        </is>
      </c>
      <c r="J1621" s="10">
        <f>IF(K1621&gt;0, "Completed", "Pending")</f>
        <v/>
      </c>
      <c r="K1621" s="10">
        <f>COUNTIF('Survey Responses'!F:F, F1621)</f>
        <v/>
      </c>
    </row>
    <row r="1622">
      <c r="A1622" s="10" t="n">
        <v>1621</v>
      </c>
      <c r="B1622" s="11" t="inlineStr">
        <is>
          <t>B. Baria (GEN-A)</t>
        </is>
      </c>
      <c r="C1622" s="11" t="inlineStr">
        <is>
          <t>Mr. Sushanta Kumar Banerjee</t>
        </is>
      </c>
      <c r="D1622" s="11" t="inlineStr">
        <is>
          <t>Kosba GEN-A-1</t>
        </is>
      </c>
      <c r="E1622" s="11" t="inlineStr">
        <is>
          <t>Mr. Md. Ruhul Amin</t>
        </is>
      </c>
      <c r="F1622" s="10" t="n">
        <v>13189</v>
      </c>
      <c r="G1622" s="11" t="inlineStr">
        <is>
          <t>Kuti-2</t>
        </is>
      </c>
      <c r="H1622" s="10" t="n">
        <v>5805</v>
      </c>
      <c r="I1622" s="11" t="inlineStr">
        <is>
          <t>Mr. Md. Nuruzzaman</t>
        </is>
      </c>
      <c r="J1622" s="10">
        <f>IF(K1622&gt;0, "Completed", "Pending")</f>
        <v/>
      </c>
      <c r="K1622" s="10">
        <f>COUNTIF('Survey Responses'!F:F, F1622)</f>
        <v/>
      </c>
    </row>
    <row r="1623">
      <c r="A1623" s="10" t="n">
        <v>1622</v>
      </c>
      <c r="B1623" s="11" t="inlineStr">
        <is>
          <t>B. Baria (GEN-A)</t>
        </is>
      </c>
      <c r="C1623" s="11" t="inlineStr">
        <is>
          <t>Mr. Sushanta Kumar Banerjee</t>
        </is>
      </c>
      <c r="D1623" s="11" t="inlineStr">
        <is>
          <t>Kosba GEN-A-1</t>
        </is>
      </c>
      <c r="E1623" s="11" t="inlineStr">
        <is>
          <t>Mr. Md. Ruhul Amin</t>
        </is>
      </c>
      <c r="F1623" s="10" t="n">
        <v>10707</v>
      </c>
      <c r="G1623" s="11" t="inlineStr">
        <is>
          <t>Shippur</t>
        </is>
      </c>
      <c r="H1623" s="10" t="n">
        <v>2941</v>
      </c>
      <c r="I1623" s="11" t="inlineStr">
        <is>
          <t>Md. Najir Hossain</t>
        </is>
      </c>
      <c r="J1623" s="10">
        <f>IF(K1623&gt;0, "Completed", "Pending")</f>
        <v/>
      </c>
      <c r="K1623" s="10">
        <f>COUNTIF('Survey Responses'!F:F, F1623)</f>
        <v/>
      </c>
    </row>
    <row r="1624">
      <c r="A1624" s="10" t="n">
        <v>1623</v>
      </c>
      <c r="B1624" s="11" t="inlineStr">
        <is>
          <t>B. Baria (GEN-A)</t>
        </is>
      </c>
      <c r="C1624" s="11" t="inlineStr">
        <is>
          <t>Mr. Sushanta Kumar Banerjee</t>
        </is>
      </c>
      <c r="D1624" s="11" t="inlineStr">
        <is>
          <t>Madhabpur GEN-A-1</t>
        </is>
      </c>
      <c r="E1624" s="11" t="inlineStr">
        <is>
          <t>Mr. Md. Mosarraf Hossain</t>
        </is>
      </c>
      <c r="F1624" s="10" t="n">
        <v>12648</v>
      </c>
      <c r="G1624" s="11" t="inlineStr">
        <is>
          <t>Bijoynagar-1</t>
        </is>
      </c>
      <c r="H1624" s="10" t="n">
        <v>3671</v>
      </c>
      <c r="I1624" s="11" t="inlineStr">
        <is>
          <t>Mr. Md. Shah Alam Shibly</t>
        </is>
      </c>
      <c r="J1624" s="10">
        <f>IF(K1624&gt;0, "Completed", "Pending")</f>
        <v/>
      </c>
      <c r="K1624" s="10">
        <f>COUNTIF('Survey Responses'!F:F, F1624)</f>
        <v/>
      </c>
    </row>
    <row r="1625">
      <c r="A1625" s="10" t="n">
        <v>1624</v>
      </c>
      <c r="B1625" s="11" t="inlineStr">
        <is>
          <t>B. Baria (GEN-A)</t>
        </is>
      </c>
      <c r="C1625" s="11" t="inlineStr">
        <is>
          <t>Mr. Sushanta Kumar Banerjee</t>
        </is>
      </c>
      <c r="D1625" s="11" t="inlineStr">
        <is>
          <t>Madhabpur GEN-A-1</t>
        </is>
      </c>
      <c r="E1625" s="11" t="inlineStr">
        <is>
          <t>Mr. Md. Mosarraf Hossain</t>
        </is>
      </c>
      <c r="F1625" s="10" t="n">
        <v>10693</v>
      </c>
      <c r="G1625" s="11" t="inlineStr">
        <is>
          <t>Madhabpur-1</t>
        </is>
      </c>
      <c r="H1625" s="10" t="n">
        <v>2991</v>
      </c>
      <c r="I1625" s="11" t="inlineStr">
        <is>
          <t>Md. Al-Amin Haque</t>
        </is>
      </c>
      <c r="J1625" s="10">
        <f>IF(K1625&gt;0, "Completed", "Pending")</f>
        <v/>
      </c>
      <c r="K1625" s="10">
        <f>COUNTIF('Survey Responses'!F:F, F1625)</f>
        <v/>
      </c>
    </row>
    <row r="1626">
      <c r="A1626" s="10" t="n">
        <v>1625</v>
      </c>
      <c r="B1626" s="11" t="inlineStr">
        <is>
          <t>B. Baria (GEN-A)</t>
        </is>
      </c>
      <c r="C1626" s="11" t="inlineStr">
        <is>
          <t>Mr. Sushanta Kumar Banerjee</t>
        </is>
      </c>
      <c r="D1626" s="11" t="inlineStr">
        <is>
          <t>Madhabpur GEN-A-1</t>
        </is>
      </c>
      <c r="E1626" s="11" t="inlineStr">
        <is>
          <t>Mr. Md. Mosarraf Hossain</t>
        </is>
      </c>
      <c r="F1626" s="10" t="n">
        <v>10695</v>
      </c>
      <c r="G1626" s="11" t="inlineStr">
        <is>
          <t>Madhabpur-2</t>
        </is>
      </c>
      <c r="H1626" s="10" t="n">
        <v>5806</v>
      </c>
      <c r="I1626" s="11" t="inlineStr">
        <is>
          <t>Mr. Md. Maminur Rahman</t>
        </is>
      </c>
      <c r="J1626" s="10">
        <f>IF(K1626&gt;0, "Completed", "Pending")</f>
        <v/>
      </c>
      <c r="K1626" s="10">
        <f>COUNTIF('Survey Responses'!F:F, F1626)</f>
        <v/>
      </c>
    </row>
    <row r="1627">
      <c r="A1627" s="10" t="n">
        <v>1626</v>
      </c>
      <c r="B1627" s="11" t="inlineStr">
        <is>
          <t>B. Baria (GEN-A)</t>
        </is>
      </c>
      <c r="C1627" s="11" t="inlineStr">
        <is>
          <t>Mr. Sushanta Kumar Banerjee</t>
        </is>
      </c>
      <c r="D1627" s="11" t="inlineStr">
        <is>
          <t>Madhabpur GEN-A-1</t>
        </is>
      </c>
      <c r="E1627" s="11" t="inlineStr">
        <is>
          <t>Mr. Md. Mosarraf Hossain</t>
        </is>
      </c>
      <c r="F1627" s="10" t="n">
        <v>10694</v>
      </c>
      <c r="G1627" s="11" t="inlineStr">
        <is>
          <t>Madhabpur-3</t>
        </is>
      </c>
      <c r="H1627" s="10" t="n">
        <v>1491</v>
      </c>
      <c r="I1627" s="11" t="inlineStr">
        <is>
          <t>Md. Nazmul Huda</t>
        </is>
      </c>
      <c r="J1627" s="10">
        <f>IF(K1627&gt;0, "Completed", "Pending")</f>
        <v/>
      </c>
      <c r="K1627" s="10">
        <f>COUNTIF('Survey Responses'!F:F, F1627)</f>
        <v/>
      </c>
    </row>
    <row r="1628">
      <c r="A1628" s="10" t="n">
        <v>1627</v>
      </c>
      <c r="B1628" s="11" t="inlineStr">
        <is>
          <t>B. Baria (GEN-A)</t>
        </is>
      </c>
      <c r="C1628" s="11" t="inlineStr">
        <is>
          <t>Mr. Sushanta Kumar Banerjee</t>
        </is>
      </c>
      <c r="D1628" s="11" t="inlineStr">
        <is>
          <t>Madhabpur GEN-A-1</t>
        </is>
      </c>
      <c r="E1628" s="11" t="inlineStr">
        <is>
          <t>Mr. Md. Mosarraf Hossain</t>
        </is>
      </c>
      <c r="F1628" s="10" t="n">
        <v>10698</v>
      </c>
      <c r="G1628" s="11" t="inlineStr">
        <is>
          <t>Madhabpur-4</t>
        </is>
      </c>
      <c r="H1628" s="10" t="n">
        <v>7036</v>
      </c>
      <c r="I1628" s="11" t="inlineStr">
        <is>
          <t>Mr. Md. Mehedi Hasan</t>
        </is>
      </c>
      <c r="J1628" s="10">
        <f>IF(K1628&gt;0, "Completed", "Pending")</f>
        <v/>
      </c>
      <c r="K1628" s="10">
        <f>COUNTIF('Survey Responses'!F:F, F1628)</f>
        <v/>
      </c>
    </row>
    <row r="1629">
      <c r="A1629" s="10" t="n">
        <v>1628</v>
      </c>
      <c r="B1629" s="11" t="inlineStr">
        <is>
          <t>B. Baria (GEN-A)</t>
        </is>
      </c>
      <c r="C1629" s="11" t="inlineStr">
        <is>
          <t>Mr. Sushanta Kumar Banerjee</t>
        </is>
      </c>
      <c r="D1629" s="11" t="inlineStr">
        <is>
          <t>Madhabpur GEN-A-1</t>
        </is>
      </c>
      <c r="E1629" s="11" t="inlineStr">
        <is>
          <t>Mr. Md. Mosarraf Hossain</t>
        </is>
      </c>
      <c r="F1629" s="10" t="n">
        <v>13190</v>
      </c>
      <c r="G1629" s="11" t="inlineStr">
        <is>
          <t>Noapara-Teliapara</t>
        </is>
      </c>
      <c r="H1629" s="10" t="n">
        <v>2815</v>
      </c>
      <c r="I1629" s="11" t="inlineStr">
        <is>
          <t>Md. Mizanur Rahman</t>
        </is>
      </c>
      <c r="J1629" s="10">
        <f>IF(K1629&gt;0, "Completed", "Pending")</f>
        <v/>
      </c>
      <c r="K1629" s="10">
        <f>COUNTIF('Survey Responses'!F:F, F1629)</f>
        <v/>
      </c>
    </row>
    <row r="1630">
      <c r="A1630" s="10" t="n">
        <v>1629</v>
      </c>
      <c r="B1630" s="11" t="inlineStr">
        <is>
          <t>B. Baria (GEN-A)</t>
        </is>
      </c>
      <c r="C1630" s="11" t="inlineStr">
        <is>
          <t>Mr. Sushanta Kumar Banerjee</t>
        </is>
      </c>
      <c r="D1630" s="11" t="inlineStr">
        <is>
          <t>Madhabpur GEN-A-1</t>
        </is>
      </c>
      <c r="E1630" s="11" t="inlineStr">
        <is>
          <t>Mr. Md. Mosarraf Hossain</t>
        </is>
      </c>
      <c r="F1630" s="10" t="n">
        <v>10712</v>
      </c>
      <c r="G1630" s="11" t="inlineStr">
        <is>
          <t>Sarail-1</t>
        </is>
      </c>
      <c r="H1630" s="10" t="n">
        <v>3725</v>
      </c>
      <c r="I1630" s="11" t="inlineStr">
        <is>
          <t>Mr. Md. Rashedul Islam</t>
        </is>
      </c>
      <c r="J1630" s="10">
        <f>IF(K1630&gt;0, "Completed", "Pending")</f>
        <v/>
      </c>
      <c r="K1630" s="10">
        <f>COUNTIF('Survey Responses'!F:F, F1630)</f>
        <v/>
      </c>
    </row>
    <row r="1631">
      <c r="A1631" s="10" t="n">
        <v>1630</v>
      </c>
      <c r="B1631" s="11" t="inlineStr">
        <is>
          <t>B. Baria (GEN-A)</t>
        </is>
      </c>
      <c r="C1631" s="11" t="inlineStr">
        <is>
          <t>Mr. Sushanta Kumar Banerjee</t>
        </is>
      </c>
      <c r="D1631" s="11" t="inlineStr">
        <is>
          <t>Madhabpur GEN-A-1</t>
        </is>
      </c>
      <c r="E1631" s="11" t="inlineStr">
        <is>
          <t>Mr. Md. Mosarraf Hossain</t>
        </is>
      </c>
      <c r="F1631" s="10" t="n">
        <v>12911</v>
      </c>
      <c r="G1631" s="11" t="inlineStr">
        <is>
          <t>Sarail-2</t>
        </is>
      </c>
      <c r="H1631" s="10" t="n">
        <v>5074</v>
      </c>
      <c r="I1631" s="11" t="inlineStr">
        <is>
          <t>Mr. Md. Anisur Rahman</t>
        </is>
      </c>
      <c r="J1631" s="10">
        <f>IF(K1631&gt;0, "Completed", "Pending")</f>
        <v/>
      </c>
      <c r="K1631" s="10">
        <f>COUNTIF('Survey Responses'!F:F, F1631)</f>
        <v/>
      </c>
    </row>
    <row r="1632">
      <c r="A1632" s="10" t="n">
        <v>1631</v>
      </c>
      <c r="B1632" s="11" t="inlineStr">
        <is>
          <t>B. Baria (GEN-A)</t>
        </is>
      </c>
      <c r="C1632" s="11" t="inlineStr">
        <is>
          <t>Mr. Sushanta Kumar Banerjee</t>
        </is>
      </c>
      <c r="D1632" s="11" t="inlineStr">
        <is>
          <t>Nabinagar GEN-A-1</t>
        </is>
      </c>
      <c r="E1632" s="11" t="inlineStr">
        <is>
          <t>Mr. Tofazzul Haque</t>
        </is>
      </c>
      <c r="F1632" s="10" t="n">
        <v>10700</v>
      </c>
      <c r="G1632" s="11" t="inlineStr">
        <is>
          <t>Bancharampur-1</t>
        </is>
      </c>
      <c r="H1632" s="10" t="n">
        <v>671</v>
      </c>
      <c r="I1632" s="11" t="inlineStr">
        <is>
          <t>Md. Mohashin Mazumder</t>
        </is>
      </c>
      <c r="J1632" s="10">
        <f>IF(K1632&gt;0, "Completed", "Pending")</f>
        <v/>
      </c>
      <c r="K1632" s="10">
        <f>COUNTIF('Survey Responses'!F:F, F1632)</f>
        <v/>
      </c>
    </row>
    <row r="1633">
      <c r="A1633" s="10" t="n">
        <v>1632</v>
      </c>
      <c r="B1633" s="11" t="inlineStr">
        <is>
          <t>B. Baria (GEN-A)</t>
        </is>
      </c>
      <c r="C1633" s="11" t="inlineStr">
        <is>
          <t>Mr. Sushanta Kumar Banerjee</t>
        </is>
      </c>
      <c r="D1633" s="11" t="inlineStr">
        <is>
          <t>Nabinagar GEN-A-1</t>
        </is>
      </c>
      <c r="E1633" s="11" t="inlineStr">
        <is>
          <t>Mr. Tofazzul Haque</t>
        </is>
      </c>
      <c r="F1633" s="10" t="n">
        <v>10701</v>
      </c>
      <c r="G1633" s="11" t="inlineStr">
        <is>
          <t>Bancharampur-2</t>
        </is>
      </c>
      <c r="H1633" s="10" t="n">
        <v>6657</v>
      </c>
      <c r="I1633" s="11" t="inlineStr">
        <is>
          <t>Mr. Md. Abdul Alim</t>
        </is>
      </c>
      <c r="J1633" s="10">
        <f>IF(K1633&gt;0, "Completed", "Pending")</f>
        <v/>
      </c>
      <c r="K1633" s="10">
        <f>COUNTIF('Survey Responses'!F:F, F1633)</f>
        <v/>
      </c>
    </row>
    <row r="1634">
      <c r="A1634" s="10" t="n">
        <v>1633</v>
      </c>
      <c r="B1634" s="11" t="inlineStr">
        <is>
          <t>B. Baria (GEN-A)</t>
        </is>
      </c>
      <c r="C1634" s="11" t="inlineStr">
        <is>
          <t>Mr. Sushanta Kumar Banerjee</t>
        </is>
      </c>
      <c r="D1634" s="11" t="inlineStr">
        <is>
          <t>Nabinagar GEN-A-1</t>
        </is>
      </c>
      <c r="E1634" s="11" t="inlineStr">
        <is>
          <t>Mr. Tofazzul Haque</t>
        </is>
      </c>
      <c r="F1634" s="10" t="n">
        <v>10703</v>
      </c>
      <c r="G1634" s="11" t="inlineStr">
        <is>
          <t>Bangura-1</t>
        </is>
      </c>
      <c r="H1634" s="10" t="n">
        <v>2779</v>
      </c>
      <c r="I1634" s="11" t="inlineStr">
        <is>
          <t>Md. Morshed Alam</t>
        </is>
      </c>
      <c r="J1634" s="10">
        <f>IF(K1634&gt;0, "Completed", "Pending")</f>
        <v/>
      </c>
      <c r="K1634" s="10">
        <f>COUNTIF('Survey Responses'!F:F, F1634)</f>
        <v/>
      </c>
    </row>
    <row r="1635">
      <c r="A1635" s="10" t="n">
        <v>1634</v>
      </c>
      <c r="B1635" s="11" t="inlineStr">
        <is>
          <t>B. Baria (GEN-A)</t>
        </is>
      </c>
      <c r="C1635" s="11" t="inlineStr">
        <is>
          <t>Mr. Sushanta Kumar Banerjee</t>
        </is>
      </c>
      <c r="D1635" s="11" t="inlineStr">
        <is>
          <t>Nabinagar GEN-A-1</t>
        </is>
      </c>
      <c r="E1635" s="11" t="inlineStr">
        <is>
          <t>Mr. Tofazzul Haque</t>
        </is>
      </c>
      <c r="F1635" s="10" t="n">
        <v>14603</v>
      </c>
      <c r="G1635" s="11" t="inlineStr">
        <is>
          <t>Bangura-2</t>
        </is>
      </c>
      <c r="H1635" s="10" t="n">
        <v>7690</v>
      </c>
      <c r="I1635" s="11" t="inlineStr">
        <is>
          <t>Mr. Haridas Chandra Barman</t>
        </is>
      </c>
      <c r="J1635" s="10">
        <f>IF(K1635&gt;0, "Completed", "Pending")</f>
        <v/>
      </c>
      <c r="K1635" s="10">
        <f>COUNTIF('Survey Responses'!F:F, F1635)</f>
        <v/>
      </c>
    </row>
    <row r="1636">
      <c r="A1636" s="10" t="n">
        <v>1635</v>
      </c>
      <c r="B1636" s="11" t="inlineStr">
        <is>
          <t>B. Baria (GEN-A)</t>
        </is>
      </c>
      <c r="C1636" s="11" t="inlineStr">
        <is>
          <t>Mr. Sushanta Kumar Banerjee</t>
        </is>
      </c>
      <c r="D1636" s="11" t="inlineStr">
        <is>
          <t>Nabinagar GEN-A-1</t>
        </is>
      </c>
      <c r="E1636" s="11" t="inlineStr">
        <is>
          <t>Mr. Tofazzul Haque</t>
        </is>
      </c>
      <c r="F1636" s="10" t="n">
        <v>10699</v>
      </c>
      <c r="G1636" s="11" t="inlineStr">
        <is>
          <t>Nobinogor-1</t>
        </is>
      </c>
      <c r="H1636" s="10" t="n">
        <v>3972</v>
      </c>
      <c r="I1636" s="11" t="inlineStr">
        <is>
          <t>Mr. Reazul Karim</t>
        </is>
      </c>
      <c r="J1636" s="10">
        <f>IF(K1636&gt;0, "Completed", "Pending")</f>
        <v/>
      </c>
      <c r="K1636" s="10">
        <f>COUNTIF('Survey Responses'!F:F, F1636)</f>
        <v/>
      </c>
    </row>
    <row r="1637">
      <c r="A1637" s="10" t="n">
        <v>1636</v>
      </c>
      <c r="B1637" s="11" t="inlineStr">
        <is>
          <t>B. Baria (GEN-A)</t>
        </is>
      </c>
      <c r="C1637" s="11" t="inlineStr">
        <is>
          <t>Mr. Sushanta Kumar Banerjee</t>
        </is>
      </c>
      <c r="D1637" s="11" t="inlineStr">
        <is>
          <t>Nabinagar GEN-A-1</t>
        </is>
      </c>
      <c r="E1637" s="11" t="inlineStr">
        <is>
          <t>Mr. Tofazzul Haque</t>
        </is>
      </c>
      <c r="F1637" s="10" t="n">
        <v>10702</v>
      </c>
      <c r="G1637" s="11" t="inlineStr">
        <is>
          <t>Nobinogor-2</t>
        </is>
      </c>
      <c r="H1637" s="10" t="n">
        <v>2407</v>
      </c>
      <c r="I1637" s="11" t="inlineStr">
        <is>
          <t>Md. Mominul Haque</t>
        </is>
      </c>
      <c r="J1637" s="10">
        <f>IF(K1637&gt;0, "Completed", "Pending")</f>
        <v/>
      </c>
      <c r="K1637" s="10">
        <f>COUNTIF('Survey Responses'!F:F, F1637)</f>
        <v/>
      </c>
    </row>
    <row r="1638">
      <c r="A1638" s="10" t="n">
        <v>1637</v>
      </c>
      <c r="B1638" s="11" t="inlineStr">
        <is>
          <t>B. Baria (GEN-A)</t>
        </is>
      </c>
      <c r="C1638" s="11" t="inlineStr">
        <is>
          <t>Mr. Sushanta Kumar Banerjee</t>
        </is>
      </c>
      <c r="D1638" s="11" t="inlineStr">
        <is>
          <t>Nabinagar GEN-A-1</t>
        </is>
      </c>
      <c r="E1638" s="11" t="inlineStr">
        <is>
          <t>Mr. Tofazzul Haque</t>
        </is>
      </c>
      <c r="F1638" s="10" t="n">
        <v>12224</v>
      </c>
      <c r="G1638" s="11" t="inlineStr">
        <is>
          <t>Nobinogor-3</t>
        </is>
      </c>
      <c r="H1638" s="10" t="n">
        <v>3731</v>
      </c>
      <c r="I1638" s="11" t="inlineStr">
        <is>
          <t>Mr. Md. Ruhul Miah</t>
        </is>
      </c>
      <c r="J1638" s="10">
        <f>IF(K1638&gt;0, "Completed", "Pending")</f>
        <v/>
      </c>
      <c r="K1638" s="10">
        <f>COUNTIF('Survey Responses'!F:F, F1638)</f>
        <v/>
      </c>
    </row>
    <row r="1639">
      <c r="A1639" s="10" t="n">
        <v>1638</v>
      </c>
      <c r="B1639" s="11" t="inlineStr">
        <is>
          <t>B. Baria (GEN-A)</t>
        </is>
      </c>
      <c r="C1639" s="11" t="inlineStr">
        <is>
          <t>Mr. Sushanta Kumar Banerjee</t>
        </is>
      </c>
      <c r="D1639" s="11" t="inlineStr">
        <is>
          <t>Nabinagar GEN-A-1</t>
        </is>
      </c>
      <c r="E1639" s="11" t="inlineStr">
        <is>
          <t>Mr. Tofazzul Haque</t>
        </is>
      </c>
      <c r="F1639" s="10" t="n">
        <v>12577</v>
      </c>
      <c r="G1639" s="11" t="inlineStr">
        <is>
          <t>Solimganj-1</t>
        </is>
      </c>
      <c r="H1639" s="10" t="n">
        <v>777</v>
      </c>
      <c r="I1639" s="11" t="inlineStr">
        <is>
          <t>Md. Kamruzzaman</t>
        </is>
      </c>
      <c r="J1639" s="10">
        <f>IF(K1639&gt;0, "Completed", "Pending")</f>
        <v/>
      </c>
      <c r="K1639" s="10">
        <f>COUNTIF('Survey Responses'!F:F, F1639)</f>
        <v/>
      </c>
    </row>
    <row r="1640">
      <c r="A1640" s="10" t="n">
        <v>1639</v>
      </c>
      <c r="B1640" s="11" t="inlineStr">
        <is>
          <t>B. Baria (GEN-A)</t>
        </is>
      </c>
      <c r="C1640" s="11" t="inlineStr">
        <is>
          <t>Mr. Sushanta Kumar Banerjee</t>
        </is>
      </c>
      <c r="D1640" s="11" t="inlineStr">
        <is>
          <t>Nobigonj GEN-A-1</t>
        </is>
      </c>
      <c r="E1640" s="11" t="inlineStr">
        <is>
          <t>Sayful Islam</t>
        </is>
      </c>
      <c r="F1640" s="10" t="n">
        <v>10678</v>
      </c>
      <c r="G1640" s="11" t="inlineStr">
        <is>
          <t>Bahubal-1</t>
        </is>
      </c>
      <c r="H1640" s="10" t="n">
        <v>1450</v>
      </c>
      <c r="I1640" s="11" t="inlineStr">
        <is>
          <t>Md. Ashrafuzzaman</t>
        </is>
      </c>
      <c r="J1640" s="10">
        <f>IF(K1640&gt;0, "Completed", "Pending")</f>
        <v/>
      </c>
      <c r="K1640" s="10">
        <f>COUNTIF('Survey Responses'!F:F, F1640)</f>
        <v/>
      </c>
    </row>
    <row r="1641">
      <c r="A1641" s="10" t="n">
        <v>1640</v>
      </c>
      <c r="B1641" s="11" t="inlineStr">
        <is>
          <t>B. Baria (GEN-A)</t>
        </is>
      </c>
      <c r="C1641" s="11" t="inlineStr">
        <is>
          <t>Mr. Sushanta Kumar Banerjee</t>
        </is>
      </c>
      <c r="D1641" s="11" t="inlineStr">
        <is>
          <t>Nobigonj GEN-A-1</t>
        </is>
      </c>
      <c r="E1641" s="11" t="inlineStr">
        <is>
          <t>Sayful Islam</t>
        </is>
      </c>
      <c r="F1641" s="10" t="n">
        <v>12557</v>
      </c>
      <c r="G1641" s="11" t="inlineStr">
        <is>
          <t>Bahubal-2</t>
        </is>
      </c>
      <c r="H1641" s="10" t="n">
        <v>1219</v>
      </c>
      <c r="I1641" s="11" t="inlineStr">
        <is>
          <t>Md. Nurul Islam</t>
        </is>
      </c>
      <c r="J1641" s="10">
        <f>IF(K1641&gt;0, "Completed", "Pending")</f>
        <v/>
      </c>
      <c r="K1641" s="10">
        <f>COUNTIF('Survey Responses'!F:F, F1641)</f>
        <v/>
      </c>
    </row>
    <row r="1642">
      <c r="A1642" s="10" t="n">
        <v>1641</v>
      </c>
      <c r="B1642" s="11" t="inlineStr">
        <is>
          <t>B. Baria (GEN-A)</t>
        </is>
      </c>
      <c r="C1642" s="11" t="inlineStr">
        <is>
          <t>Mr. Sushanta Kumar Banerjee</t>
        </is>
      </c>
      <c r="D1642" s="11" t="inlineStr">
        <is>
          <t>Nobigonj GEN-A-1</t>
        </is>
      </c>
      <c r="E1642" s="11" t="inlineStr">
        <is>
          <t>Sayful Islam</t>
        </is>
      </c>
      <c r="F1642" s="10" t="n">
        <v>12578</v>
      </c>
      <c r="G1642" s="11" t="inlineStr">
        <is>
          <t>Innaetgonj-1</t>
        </is>
      </c>
      <c r="H1642" s="10" t="n">
        <v>628</v>
      </c>
      <c r="I1642" s="11" t="inlineStr">
        <is>
          <t>Karun Chandra Roy</t>
        </is>
      </c>
      <c r="J1642" s="10">
        <f>IF(K1642&gt;0, "Completed", "Pending")</f>
        <v/>
      </c>
      <c r="K1642" s="10">
        <f>COUNTIF('Survey Responses'!F:F, F1642)</f>
        <v/>
      </c>
    </row>
    <row r="1643">
      <c r="A1643" s="10" t="n">
        <v>1642</v>
      </c>
      <c r="B1643" s="11" t="inlineStr">
        <is>
          <t>B. Baria (GEN-A)</t>
        </is>
      </c>
      <c r="C1643" s="11" t="inlineStr">
        <is>
          <t>Mr. Sushanta Kumar Banerjee</t>
        </is>
      </c>
      <c r="D1643" s="11" t="inlineStr">
        <is>
          <t>Nobigonj GEN-A-1</t>
        </is>
      </c>
      <c r="E1643" s="11" t="inlineStr">
        <is>
          <t>Sayful Islam</t>
        </is>
      </c>
      <c r="F1643" s="10" t="n">
        <v>10687</v>
      </c>
      <c r="G1643" s="11" t="inlineStr">
        <is>
          <t>Nobigonj-1</t>
        </is>
      </c>
      <c r="H1643" s="10" t="n">
        <v>5499</v>
      </c>
      <c r="I1643" s="11" t="inlineStr">
        <is>
          <t>Mr. Sarif Uddin</t>
        </is>
      </c>
      <c r="J1643" s="10">
        <f>IF(K1643&gt;0, "Completed", "Pending")</f>
        <v/>
      </c>
      <c r="K1643" s="10">
        <f>COUNTIF('Survey Responses'!F:F, F1643)</f>
        <v/>
      </c>
    </row>
    <row r="1644">
      <c r="A1644" s="10" t="n">
        <v>1643</v>
      </c>
      <c r="B1644" s="11" t="inlineStr">
        <is>
          <t>B. Baria (GEN-A)</t>
        </is>
      </c>
      <c r="C1644" s="11" t="inlineStr">
        <is>
          <t>Mr. Sushanta Kumar Banerjee</t>
        </is>
      </c>
      <c r="D1644" s="11" t="inlineStr">
        <is>
          <t>Nobigonj GEN-A-1</t>
        </is>
      </c>
      <c r="E1644" s="11" t="inlineStr">
        <is>
          <t>Sayful Islam</t>
        </is>
      </c>
      <c r="F1644" s="10" t="n">
        <v>10692</v>
      </c>
      <c r="G1644" s="11" t="inlineStr">
        <is>
          <t>Nobigonj-2</t>
        </is>
      </c>
      <c r="H1644" s="10" t="n">
        <v>2091</v>
      </c>
      <c r="I1644" s="11" t="inlineStr">
        <is>
          <t>Md. Rubel Rana</t>
        </is>
      </c>
      <c r="J1644" s="10">
        <f>IF(K1644&gt;0, "Completed", "Pending")</f>
        <v/>
      </c>
      <c r="K1644" s="10">
        <f>COUNTIF('Survey Responses'!F:F, F1644)</f>
        <v/>
      </c>
    </row>
    <row r="1645">
      <c r="A1645" s="10" t="n">
        <v>1644</v>
      </c>
      <c r="B1645" s="11" t="inlineStr">
        <is>
          <t>B. Baria (GEN-A)</t>
        </is>
      </c>
      <c r="C1645" s="11" t="inlineStr">
        <is>
          <t>Mr. Sushanta Kumar Banerjee</t>
        </is>
      </c>
      <c r="D1645" s="11" t="inlineStr">
        <is>
          <t>Nobigonj GEN-A-1</t>
        </is>
      </c>
      <c r="E1645" s="11" t="inlineStr">
        <is>
          <t>Sayful Islam</t>
        </is>
      </c>
      <c r="F1645" s="10" t="n">
        <v>14538</v>
      </c>
      <c r="G1645" s="11" t="inlineStr">
        <is>
          <t>Nobigonj-3</t>
        </is>
      </c>
      <c r="H1645" s="10" t="n">
        <v>7564</v>
      </c>
      <c r="I1645" s="11" t="inlineStr">
        <is>
          <t xml:space="preserve">Mr. Abdul Jalil </t>
        </is>
      </c>
      <c r="J1645" s="10">
        <f>IF(K1645&gt;0, "Completed", "Pending")</f>
        <v/>
      </c>
      <c r="K1645" s="10">
        <f>COUNTIF('Survey Responses'!F:F, F1645)</f>
        <v/>
      </c>
    </row>
    <row r="1646">
      <c r="A1646" s="10" t="n">
        <v>1645</v>
      </c>
      <c r="B1646" s="11" t="inlineStr">
        <is>
          <t>B. Baria (GEN-A)</t>
        </is>
      </c>
      <c r="C1646" s="11" t="inlineStr">
        <is>
          <t>Mr. Sushanta Kumar Banerjee</t>
        </is>
      </c>
      <c r="D1646" s="11" t="inlineStr">
        <is>
          <t>Nobigonj GEN-A-1</t>
        </is>
      </c>
      <c r="E1646" s="11" t="inlineStr">
        <is>
          <t>Sayful Islam</t>
        </is>
      </c>
      <c r="F1646" s="10" t="n">
        <v>14122</v>
      </c>
      <c r="G1646" s="11" t="inlineStr">
        <is>
          <t>Sherpur (MLV)-1</t>
        </is>
      </c>
      <c r="H1646" s="10" t="n">
        <v>7408</v>
      </c>
      <c r="I1646" s="11" t="inlineStr">
        <is>
          <t>Mr. Fazale Rabbi</t>
        </is>
      </c>
      <c r="J1646" s="10">
        <f>IF(K1646&gt;0, "Completed", "Pending")</f>
        <v/>
      </c>
      <c r="K1646" s="10">
        <f>COUNTIF('Survey Responses'!F:F, F1646)</f>
        <v/>
      </c>
    </row>
    <row r="1647">
      <c r="A1647" s="10" t="n">
        <v>1646</v>
      </c>
      <c r="B1647" s="11" t="inlineStr">
        <is>
          <t>Mymensingh (GEN-A)</t>
        </is>
      </c>
      <c r="C1647" s="11" t="inlineStr">
        <is>
          <t>Mr. Ziaul Islam</t>
        </is>
      </c>
      <c r="D1647" s="11" t="inlineStr">
        <is>
          <t>Durgapur GEN-A-1</t>
        </is>
      </c>
      <c r="E1647" s="11" t="inlineStr">
        <is>
          <t>Mr. Mohammad Minhajul Karim</t>
        </is>
      </c>
      <c r="F1647" s="10" t="n">
        <v>10847</v>
      </c>
      <c r="G1647" s="11" t="inlineStr">
        <is>
          <t>Durgapur (Netrokona)-1</t>
        </is>
      </c>
      <c r="H1647" s="10" t="n">
        <v>5064</v>
      </c>
      <c r="I1647" s="11" t="inlineStr">
        <is>
          <t>Mr. Md. Abdulla Al-Amin</t>
        </is>
      </c>
      <c r="J1647" s="10">
        <f>IF(K1647&gt;0, "Completed", "Pending")</f>
        <v/>
      </c>
      <c r="K1647" s="10">
        <f>COUNTIF('Survey Responses'!F:F, F1647)</f>
        <v/>
      </c>
    </row>
    <row r="1648">
      <c r="A1648" s="10" t="n">
        <v>1647</v>
      </c>
      <c r="B1648" s="11" t="inlineStr">
        <is>
          <t>Mymensingh (GEN-A)</t>
        </is>
      </c>
      <c r="C1648" s="11" t="inlineStr">
        <is>
          <t>Mr. Ziaul Islam</t>
        </is>
      </c>
      <c r="D1648" s="11" t="inlineStr">
        <is>
          <t>Durgapur GEN-A-1</t>
        </is>
      </c>
      <c r="E1648" s="11" t="inlineStr">
        <is>
          <t>Mr. Mohammad Minhajul Karim</t>
        </is>
      </c>
      <c r="F1648" s="10" t="n">
        <v>12599</v>
      </c>
      <c r="G1648" s="11" t="inlineStr">
        <is>
          <t xml:space="preserve">Durgapur (Netrokona)-2 </t>
        </is>
      </c>
      <c r="H1648" s="10" t="n">
        <v>4030</v>
      </c>
      <c r="I1648" s="11" t="inlineStr">
        <is>
          <t>Md. Shahin Sarker</t>
        </is>
      </c>
      <c r="J1648" s="10">
        <f>IF(K1648&gt;0, "Completed", "Pending")</f>
        <v/>
      </c>
      <c r="K1648" s="10">
        <f>COUNTIF('Survey Responses'!F:F, F1648)</f>
        <v/>
      </c>
    </row>
    <row r="1649">
      <c r="A1649" s="10" t="n">
        <v>1648</v>
      </c>
      <c r="B1649" s="11" t="inlineStr">
        <is>
          <t>Mymensingh (GEN-A)</t>
        </is>
      </c>
      <c r="C1649" s="11" t="inlineStr">
        <is>
          <t>Mr. Ziaul Islam</t>
        </is>
      </c>
      <c r="D1649" s="11" t="inlineStr">
        <is>
          <t>Durgapur GEN-A-1</t>
        </is>
      </c>
      <c r="E1649" s="11" t="inlineStr">
        <is>
          <t>Mr. Mohammad Minhajul Karim</t>
        </is>
      </c>
      <c r="F1649" s="10" t="n">
        <v>14556</v>
      </c>
      <c r="G1649" s="11" t="inlineStr">
        <is>
          <t>Durgapur (Netrokona)-3</t>
        </is>
      </c>
      <c r="H1649" s="10" t="n">
        <v>7642</v>
      </c>
      <c r="I1649" s="11" t="inlineStr">
        <is>
          <t>Mr. Md. Humayun Kabir</t>
        </is>
      </c>
      <c r="J1649" s="10">
        <f>IF(K1649&gt;0, "Completed", "Pending")</f>
        <v/>
      </c>
      <c r="K1649" s="10">
        <f>COUNTIF('Survey Responses'!F:F, F1649)</f>
        <v/>
      </c>
    </row>
    <row r="1650">
      <c r="A1650" s="10" t="n">
        <v>1649</v>
      </c>
      <c r="B1650" s="11" t="inlineStr">
        <is>
          <t>Mymensingh (GEN-A)</t>
        </is>
      </c>
      <c r="C1650" s="11" t="inlineStr">
        <is>
          <t>Mr. Ziaul Islam</t>
        </is>
      </c>
      <c r="D1650" s="11" t="inlineStr">
        <is>
          <t>Durgapur GEN-A-1</t>
        </is>
      </c>
      <c r="E1650" s="11" t="inlineStr">
        <is>
          <t>Mr. Mohammad Minhajul Karim</t>
        </is>
      </c>
      <c r="F1650" s="10" t="n">
        <v>12323</v>
      </c>
      <c r="G1650" s="11" t="inlineStr">
        <is>
          <t>Kalmakanda-1</t>
        </is>
      </c>
      <c r="H1650" s="10" t="n">
        <v>3704</v>
      </c>
      <c r="I1650" s="11" t="inlineStr">
        <is>
          <t>Mr. Md. Mahmudul Hasan</t>
        </is>
      </c>
      <c r="J1650" s="10">
        <f>IF(K1650&gt;0, "Completed", "Pending")</f>
        <v/>
      </c>
      <c r="K1650" s="10">
        <f>COUNTIF('Survey Responses'!F:F, F1650)</f>
        <v/>
      </c>
    </row>
    <row r="1651">
      <c r="A1651" s="10" t="n">
        <v>1650</v>
      </c>
      <c r="B1651" s="11" t="inlineStr">
        <is>
          <t>Mymensingh (GEN-A)</t>
        </is>
      </c>
      <c r="C1651" s="11" t="inlineStr">
        <is>
          <t>Mr. Ziaul Islam</t>
        </is>
      </c>
      <c r="D1651" s="11" t="inlineStr">
        <is>
          <t>Durgapur GEN-A-1</t>
        </is>
      </c>
      <c r="E1651" s="11" t="inlineStr">
        <is>
          <t>Mr. Mohammad Minhajul Karim</t>
        </is>
      </c>
      <c r="F1651" s="10" t="n">
        <v>14715</v>
      </c>
      <c r="G1651" s="11" t="inlineStr">
        <is>
          <t>Kalmakanda-2</t>
        </is>
      </c>
      <c r="H1651" s="10" t="n">
        <v>1098</v>
      </c>
      <c r="I1651" s="11" t="inlineStr">
        <is>
          <t>Md. Shahriar Kabir</t>
        </is>
      </c>
      <c r="J1651" s="10">
        <f>IF(K1651&gt;0, "Completed", "Pending")</f>
        <v/>
      </c>
      <c r="K1651" s="10">
        <f>COUNTIF('Survey Responses'!F:F, F1651)</f>
        <v/>
      </c>
    </row>
    <row r="1652">
      <c r="A1652" s="10" t="n">
        <v>1651</v>
      </c>
      <c r="B1652" s="11" t="inlineStr">
        <is>
          <t>Mymensingh (GEN-A)</t>
        </is>
      </c>
      <c r="C1652" s="11" t="inlineStr">
        <is>
          <t>Mr. Ziaul Islam</t>
        </is>
      </c>
      <c r="D1652" s="11" t="inlineStr">
        <is>
          <t>Durgapur GEN-A-1</t>
        </is>
      </c>
      <c r="E1652" s="11" t="inlineStr">
        <is>
          <t>Mr. Mohammad Minhajul Karim</t>
        </is>
      </c>
      <c r="F1652" s="10" t="n">
        <v>10850</v>
      </c>
      <c r="G1652" s="11" t="inlineStr">
        <is>
          <t>Purbadhala-1</t>
        </is>
      </c>
      <c r="H1652" s="10" t="n">
        <v>662</v>
      </c>
      <c r="I1652" s="11" t="inlineStr">
        <is>
          <t>Md. Saiful Islam</t>
        </is>
      </c>
      <c r="J1652" s="10">
        <f>IF(K1652&gt;0, "Completed", "Pending")</f>
        <v/>
      </c>
      <c r="K1652" s="10">
        <f>COUNTIF('Survey Responses'!F:F, F1652)</f>
        <v/>
      </c>
    </row>
    <row r="1653">
      <c r="A1653" s="10" t="n">
        <v>1652</v>
      </c>
      <c r="B1653" s="11" t="inlineStr">
        <is>
          <t>Mymensingh (GEN-A)</t>
        </is>
      </c>
      <c r="C1653" s="11" t="inlineStr">
        <is>
          <t>Mr. Ziaul Islam</t>
        </is>
      </c>
      <c r="D1653" s="11" t="inlineStr">
        <is>
          <t>Durgapur GEN-A-1</t>
        </is>
      </c>
      <c r="E1653" s="11" t="inlineStr">
        <is>
          <t>Mr. Mohammad Minhajul Karim</t>
        </is>
      </c>
      <c r="F1653" s="10" t="n">
        <v>13307</v>
      </c>
      <c r="G1653" s="11" t="inlineStr">
        <is>
          <t>Purbadhala-2</t>
        </is>
      </c>
      <c r="H1653" s="10" t="n">
        <v>5918</v>
      </c>
      <c r="I1653" s="11" t="inlineStr">
        <is>
          <t>Mr. Md. Mahamudul Hasan</t>
        </is>
      </c>
      <c r="J1653" s="10">
        <f>IF(K1653&gt;0, "Completed", "Pending")</f>
        <v/>
      </c>
      <c r="K1653" s="10">
        <f>COUNTIF('Survey Responses'!F:F, F1653)</f>
        <v/>
      </c>
    </row>
    <row r="1654">
      <c r="A1654" s="10" t="n">
        <v>1653</v>
      </c>
      <c r="B1654" s="11" t="inlineStr">
        <is>
          <t>Mymensingh (GEN-A)</t>
        </is>
      </c>
      <c r="C1654" s="11" t="inlineStr">
        <is>
          <t>Mr. Ziaul Islam</t>
        </is>
      </c>
      <c r="D1654" s="11" t="inlineStr">
        <is>
          <t>Fulbaria GEN-A-1</t>
        </is>
      </c>
      <c r="E1654" s="11" t="inlineStr">
        <is>
          <t>Md. Iftekher Hasan Purkayestha</t>
        </is>
      </c>
      <c r="F1654" s="10" t="n">
        <v>10835</v>
      </c>
      <c r="G1654" s="11" t="inlineStr">
        <is>
          <t>Fulbaria-1</t>
        </is>
      </c>
      <c r="H1654" s="10" t="n">
        <v>831</v>
      </c>
      <c r="I1654" s="11" t="inlineStr">
        <is>
          <t>Md. Hakimuzzaman</t>
        </is>
      </c>
      <c r="J1654" s="10">
        <f>IF(K1654&gt;0, "Completed", "Pending")</f>
        <v/>
      </c>
      <c r="K1654" s="10">
        <f>COUNTIF('Survey Responses'!F:F, F1654)</f>
        <v/>
      </c>
    </row>
    <row r="1655">
      <c r="A1655" s="10" t="n">
        <v>1654</v>
      </c>
      <c r="B1655" s="11" t="inlineStr">
        <is>
          <t>Mymensingh (GEN-A)</t>
        </is>
      </c>
      <c r="C1655" s="11" t="inlineStr">
        <is>
          <t>Mr. Ziaul Islam</t>
        </is>
      </c>
      <c r="D1655" s="11" t="inlineStr">
        <is>
          <t>Fulbaria GEN-A-1</t>
        </is>
      </c>
      <c r="E1655" s="11" t="inlineStr">
        <is>
          <t>Md. Iftekher Hasan Purkayestha</t>
        </is>
      </c>
      <c r="F1655" s="10" t="n">
        <v>10837</v>
      </c>
      <c r="G1655" s="11" t="inlineStr">
        <is>
          <t>Fulbaria-2</t>
        </is>
      </c>
      <c r="H1655" s="10" t="n">
        <v>8304</v>
      </c>
      <c r="I1655" s="11" t="inlineStr">
        <is>
          <t>Mr. Md. Jibon Hossain</t>
        </is>
      </c>
      <c r="J1655" s="10">
        <f>IF(K1655&gt;0, "Completed", "Pending")</f>
        <v/>
      </c>
      <c r="K1655" s="10">
        <f>COUNTIF('Survey Responses'!F:F, F1655)</f>
        <v/>
      </c>
    </row>
    <row r="1656">
      <c r="A1656" s="10" t="n">
        <v>1655</v>
      </c>
      <c r="B1656" s="11" t="inlineStr">
        <is>
          <t>Mymensingh (GEN-A)</t>
        </is>
      </c>
      <c r="C1656" s="11" t="inlineStr">
        <is>
          <t>Mr. Ziaul Islam</t>
        </is>
      </c>
      <c r="D1656" s="11" t="inlineStr">
        <is>
          <t>Fulbaria GEN-A-1</t>
        </is>
      </c>
      <c r="E1656" s="11" t="inlineStr">
        <is>
          <t>Md. Iftekher Hasan Purkayestha</t>
        </is>
      </c>
      <c r="F1656" s="10" t="n">
        <v>12205</v>
      </c>
      <c r="G1656" s="11" t="inlineStr">
        <is>
          <t>Fulbaria-3</t>
        </is>
      </c>
      <c r="H1656" s="10" t="n">
        <v>1660</v>
      </c>
      <c r="I1656" s="11" t="inlineStr">
        <is>
          <t>Bibhuti Bhusan Mondal</t>
        </is>
      </c>
      <c r="J1656" s="10">
        <f>IF(K1656&gt;0, "Completed", "Pending")</f>
        <v/>
      </c>
      <c r="K1656" s="10">
        <f>COUNTIF('Survey Responses'!F:F, F1656)</f>
        <v/>
      </c>
    </row>
    <row r="1657">
      <c r="A1657" s="10" t="n">
        <v>1656</v>
      </c>
      <c r="B1657" s="11" t="inlineStr">
        <is>
          <t>Mymensingh (GEN-A)</t>
        </is>
      </c>
      <c r="C1657" s="11" t="inlineStr">
        <is>
          <t>Mr. Ziaul Islam</t>
        </is>
      </c>
      <c r="D1657" s="11" t="inlineStr">
        <is>
          <t>Fulbaria GEN-A-1</t>
        </is>
      </c>
      <c r="E1657" s="11" t="inlineStr">
        <is>
          <t>Md. Iftekher Hasan Purkayestha</t>
        </is>
      </c>
      <c r="F1657" s="10" t="n">
        <v>13618</v>
      </c>
      <c r="G1657" s="11" t="inlineStr">
        <is>
          <t>Fulbaria-4</t>
        </is>
      </c>
      <c r="H1657" s="10" t="n">
        <v>7227</v>
      </c>
      <c r="I1657" s="11" t="inlineStr">
        <is>
          <t>Mr. Md. Shahanur Rashid</t>
        </is>
      </c>
      <c r="J1657" s="10">
        <f>IF(K1657&gt;0, "Completed", "Pending")</f>
        <v/>
      </c>
      <c r="K1657" s="10">
        <f>COUNTIF('Survey Responses'!F:F, F1657)</f>
        <v/>
      </c>
    </row>
    <row r="1658">
      <c r="A1658" s="10" t="n">
        <v>1657</v>
      </c>
      <c r="B1658" s="11" t="inlineStr">
        <is>
          <t>Mymensingh (GEN-A)</t>
        </is>
      </c>
      <c r="C1658" s="11" t="inlineStr">
        <is>
          <t>Mr. Ziaul Islam</t>
        </is>
      </c>
      <c r="D1658" s="11" t="inlineStr">
        <is>
          <t>Fulbaria GEN-A-1</t>
        </is>
      </c>
      <c r="E1658" s="11" t="inlineStr">
        <is>
          <t>Md. Iftekher Hasan Purkayestha</t>
        </is>
      </c>
      <c r="F1658" s="10" t="n">
        <v>10842</v>
      </c>
      <c r="G1658" s="11" t="inlineStr">
        <is>
          <t>Shamgonj</t>
        </is>
      </c>
      <c r="H1658" s="10" t="n">
        <v>8651</v>
      </c>
      <c r="I1658" s="11" t="inlineStr">
        <is>
          <t>Mr. Md. Al-Amin Hossain</t>
        </is>
      </c>
      <c r="J1658" s="10">
        <f>IF(K1658&gt;0, "Completed", "Pending")</f>
        <v/>
      </c>
      <c r="K1658" s="10">
        <f>COUNTIF('Survey Responses'!F:F, F1658)</f>
        <v/>
      </c>
    </row>
    <row r="1659">
      <c r="A1659" s="10" t="n">
        <v>1658</v>
      </c>
      <c r="B1659" s="11" t="inlineStr">
        <is>
          <t>Mymensingh (GEN-A)</t>
        </is>
      </c>
      <c r="C1659" s="11" t="inlineStr">
        <is>
          <t>Mr. Ziaul Islam</t>
        </is>
      </c>
      <c r="D1659" s="11" t="inlineStr">
        <is>
          <t>Fulbaria GEN-A-1</t>
        </is>
      </c>
      <c r="E1659" s="11" t="inlineStr">
        <is>
          <t>Md. Iftekher Hasan Purkayestha</t>
        </is>
      </c>
      <c r="F1659" s="10" t="n">
        <v>10843</v>
      </c>
      <c r="G1659" s="11" t="inlineStr">
        <is>
          <t>Tarakanda-1</t>
        </is>
      </c>
      <c r="H1659" s="10" t="n">
        <v>1404</v>
      </c>
      <c r="I1659" s="11" t="inlineStr">
        <is>
          <t>Md. Masud Parves</t>
        </is>
      </c>
      <c r="J1659" s="10">
        <f>IF(K1659&gt;0, "Completed", "Pending")</f>
        <v/>
      </c>
      <c r="K1659" s="10">
        <f>COUNTIF('Survey Responses'!F:F, F1659)</f>
        <v/>
      </c>
    </row>
    <row r="1660">
      <c r="A1660" s="10" t="n">
        <v>1659</v>
      </c>
      <c r="B1660" s="11" t="inlineStr">
        <is>
          <t>Mymensingh (GEN-A)</t>
        </is>
      </c>
      <c r="C1660" s="11" t="inlineStr">
        <is>
          <t>Mr. Ziaul Islam</t>
        </is>
      </c>
      <c r="D1660" s="11" t="inlineStr">
        <is>
          <t>Fulbaria GEN-A-1</t>
        </is>
      </c>
      <c r="E1660" s="11" t="inlineStr">
        <is>
          <t>Md. Iftekher Hasan Purkayestha</t>
        </is>
      </c>
      <c r="F1660" s="10" t="n">
        <v>13130</v>
      </c>
      <c r="G1660" s="11" t="inlineStr">
        <is>
          <t>Tarakanda-2</t>
        </is>
      </c>
      <c r="H1660" s="10" t="n">
        <v>5730</v>
      </c>
      <c r="I1660" s="11" t="inlineStr">
        <is>
          <t>Mr. Bikash Kumar Sutradhar</t>
        </is>
      </c>
      <c r="J1660" s="10">
        <f>IF(K1660&gt;0, "Completed", "Pending")</f>
        <v/>
      </c>
      <c r="K1660" s="10">
        <f>COUNTIF('Survey Responses'!F:F, F1660)</f>
        <v/>
      </c>
    </row>
    <row r="1661">
      <c r="A1661" s="10" t="n">
        <v>1660</v>
      </c>
      <c r="B1661" s="11" t="inlineStr">
        <is>
          <t>Mymensingh (GEN-A)</t>
        </is>
      </c>
      <c r="C1661" s="11" t="inlineStr">
        <is>
          <t>Mr. Ziaul Islam</t>
        </is>
      </c>
      <c r="D1661" s="11" t="inlineStr">
        <is>
          <t>Fulpur GEN-A-1</t>
        </is>
      </c>
      <c r="E1661" s="11" t="inlineStr">
        <is>
          <t>Mr. Md. Raqibul Islam</t>
        </is>
      </c>
      <c r="F1661" s="10" t="n">
        <v>10840</v>
      </c>
      <c r="G1661" s="11" t="inlineStr">
        <is>
          <t>Dhobaura-1</t>
        </is>
      </c>
      <c r="H1661" s="10" t="n">
        <v>1870</v>
      </c>
      <c r="I1661" s="11" t="inlineStr">
        <is>
          <t>Mr. Sintu Kumar Roy</t>
        </is>
      </c>
      <c r="J1661" s="10">
        <f>IF(K1661&gt;0, "Completed", "Pending")</f>
        <v/>
      </c>
      <c r="K1661" s="10">
        <f>COUNTIF('Survey Responses'!F:F, F1661)</f>
        <v/>
      </c>
    </row>
    <row r="1662">
      <c r="A1662" s="10" t="n">
        <v>1661</v>
      </c>
      <c r="B1662" s="11" t="inlineStr">
        <is>
          <t>Mymensingh (GEN-A)</t>
        </is>
      </c>
      <c r="C1662" s="11" t="inlineStr">
        <is>
          <t>Mr. Ziaul Islam</t>
        </is>
      </c>
      <c r="D1662" s="11" t="inlineStr">
        <is>
          <t>Fulpur GEN-A-1</t>
        </is>
      </c>
      <c r="E1662" s="11" t="inlineStr">
        <is>
          <t>Mr. Md. Raqibul Islam</t>
        </is>
      </c>
      <c r="F1662" s="10" t="n">
        <v>14136</v>
      </c>
      <c r="G1662" s="11" t="inlineStr">
        <is>
          <t>Dhobaura-2</t>
        </is>
      </c>
      <c r="H1662" s="10" t="n">
        <v>7459</v>
      </c>
      <c r="I1662" s="11" t="inlineStr">
        <is>
          <t>Mr. Md. Mejbahul Ajam</t>
        </is>
      </c>
      <c r="J1662" s="10">
        <f>IF(K1662&gt;0, "Completed", "Pending")</f>
        <v/>
      </c>
      <c r="K1662" s="10">
        <f>COUNTIF('Survey Responses'!F:F, F1662)</f>
        <v/>
      </c>
    </row>
    <row r="1663">
      <c r="A1663" s="10" t="n">
        <v>1662</v>
      </c>
      <c r="B1663" s="11" t="inlineStr">
        <is>
          <t>Mymensingh (GEN-A)</t>
        </is>
      </c>
      <c r="C1663" s="11" t="inlineStr">
        <is>
          <t>Mr. Ziaul Islam</t>
        </is>
      </c>
      <c r="D1663" s="11" t="inlineStr">
        <is>
          <t>Fulpur GEN-A-1</t>
        </is>
      </c>
      <c r="E1663" s="11" t="inlineStr">
        <is>
          <t>Mr. Md. Raqibul Islam</t>
        </is>
      </c>
      <c r="F1663" s="10" t="n">
        <v>10838</v>
      </c>
      <c r="G1663" s="11" t="inlineStr">
        <is>
          <t>Fulpur-1</t>
        </is>
      </c>
      <c r="H1663" s="10" t="n">
        <v>6667</v>
      </c>
      <c r="I1663" s="11" t="inlineStr">
        <is>
          <t>Mr. Md. Shahin Alam</t>
        </is>
      </c>
      <c r="J1663" s="10">
        <f>IF(K1663&gt;0, "Completed", "Pending")</f>
        <v/>
      </c>
      <c r="K1663" s="10">
        <f>COUNTIF('Survey Responses'!F:F, F1663)</f>
        <v/>
      </c>
    </row>
    <row r="1664">
      <c r="A1664" s="10" t="n">
        <v>1663</v>
      </c>
      <c r="B1664" s="11" t="inlineStr">
        <is>
          <t>Mymensingh (GEN-A)</t>
        </is>
      </c>
      <c r="C1664" s="11" t="inlineStr">
        <is>
          <t>Mr. Ziaul Islam</t>
        </is>
      </c>
      <c r="D1664" s="11" t="inlineStr">
        <is>
          <t>Fulpur GEN-A-1</t>
        </is>
      </c>
      <c r="E1664" s="11" t="inlineStr">
        <is>
          <t>Mr. Md. Raqibul Islam</t>
        </is>
      </c>
      <c r="F1664" s="10" t="n">
        <v>10839</v>
      </c>
      <c r="G1664" s="11" t="inlineStr">
        <is>
          <t>Fulpur-2</t>
        </is>
      </c>
      <c r="H1664" s="10" t="n">
        <v>3698</v>
      </c>
      <c r="I1664" s="11" t="inlineStr">
        <is>
          <t>Mr. Md. Arshadul Haque</t>
        </is>
      </c>
      <c r="J1664" s="10">
        <f>IF(K1664&gt;0, "Completed", "Pending")</f>
        <v/>
      </c>
      <c r="K1664" s="10">
        <f>COUNTIF('Survey Responses'!F:F, F1664)</f>
        <v/>
      </c>
    </row>
    <row r="1665">
      <c r="A1665" s="10" t="n">
        <v>1664</v>
      </c>
      <c r="B1665" s="11" t="inlineStr">
        <is>
          <t>Mymensingh (GEN-A)</t>
        </is>
      </c>
      <c r="C1665" s="11" t="inlineStr">
        <is>
          <t>Mr. Ziaul Islam</t>
        </is>
      </c>
      <c r="D1665" s="11" t="inlineStr">
        <is>
          <t>Fulpur GEN-A-1</t>
        </is>
      </c>
      <c r="E1665" s="11" t="inlineStr">
        <is>
          <t>Mr. Md. Raqibul Islam</t>
        </is>
      </c>
      <c r="F1665" s="10" t="n">
        <v>12405</v>
      </c>
      <c r="G1665" s="11" t="inlineStr">
        <is>
          <t>Fulpur-3</t>
        </is>
      </c>
      <c r="H1665" s="10" t="n">
        <v>1374</v>
      </c>
      <c r="I1665" s="11" t="inlineStr">
        <is>
          <t>Md. Shariful Islam</t>
        </is>
      </c>
      <c r="J1665" s="10">
        <f>IF(K1665&gt;0, "Completed", "Pending")</f>
        <v/>
      </c>
      <c r="K1665" s="10">
        <f>COUNTIF('Survey Responses'!F:F, F1665)</f>
        <v/>
      </c>
    </row>
    <row r="1666">
      <c r="A1666" s="10" t="n">
        <v>1665</v>
      </c>
      <c r="B1666" s="11" t="inlineStr">
        <is>
          <t>Mymensingh (GEN-A)</t>
        </is>
      </c>
      <c r="C1666" s="11" t="inlineStr">
        <is>
          <t>Mr. Ziaul Islam</t>
        </is>
      </c>
      <c r="D1666" s="11" t="inlineStr">
        <is>
          <t>Fulpur GEN-A-1</t>
        </is>
      </c>
      <c r="E1666" s="11" t="inlineStr">
        <is>
          <t>Mr. Md. Raqibul Islam</t>
        </is>
      </c>
      <c r="F1666" s="10" t="n">
        <v>10841</v>
      </c>
      <c r="G1666" s="11" t="inlineStr">
        <is>
          <t>Haluaghat-1</t>
        </is>
      </c>
      <c r="H1666" s="10" t="n">
        <v>1592</v>
      </c>
      <c r="I1666" s="11" t="inlineStr">
        <is>
          <t>Ashraful Islam</t>
        </is>
      </c>
      <c r="J1666" s="10">
        <f>IF(K1666&gt;0, "Completed", "Pending")</f>
        <v/>
      </c>
      <c r="K1666" s="10">
        <f>COUNTIF('Survey Responses'!F:F, F1666)</f>
        <v/>
      </c>
    </row>
    <row r="1667">
      <c r="A1667" s="10" t="n">
        <v>1666</v>
      </c>
      <c r="B1667" s="11" t="inlineStr">
        <is>
          <t>Mymensingh (GEN-A)</t>
        </is>
      </c>
      <c r="C1667" s="11" t="inlineStr">
        <is>
          <t>Mr. Ziaul Islam</t>
        </is>
      </c>
      <c r="D1667" s="11" t="inlineStr">
        <is>
          <t>Fulpur GEN-A-1</t>
        </is>
      </c>
      <c r="E1667" s="11" t="inlineStr">
        <is>
          <t>Mr. Md. Raqibul Islam</t>
        </is>
      </c>
      <c r="F1667" s="10" t="n">
        <v>12588</v>
      </c>
      <c r="G1667" s="11" t="inlineStr">
        <is>
          <t>Haluaghat-2</t>
        </is>
      </c>
      <c r="H1667" s="10" t="n">
        <v>4026</v>
      </c>
      <c r="I1667" s="11" t="inlineStr">
        <is>
          <t>Md. Belal Hossain</t>
        </is>
      </c>
      <c r="J1667" s="10">
        <f>IF(K1667&gt;0, "Completed", "Pending")</f>
        <v/>
      </c>
      <c r="K1667" s="10">
        <f>COUNTIF('Survey Responses'!F:F, F1667)</f>
        <v/>
      </c>
    </row>
    <row r="1668">
      <c r="A1668" s="10" t="n">
        <v>1667</v>
      </c>
      <c r="B1668" s="11" t="inlineStr">
        <is>
          <t>Mymensingh (GEN-A)</t>
        </is>
      </c>
      <c r="C1668" s="11" t="inlineStr">
        <is>
          <t>Mr. Ziaul Islam</t>
        </is>
      </c>
      <c r="D1668" s="11" t="inlineStr">
        <is>
          <t>Mohonganj GEN-A-1</t>
        </is>
      </c>
      <c r="E1668" s="11" t="inlineStr">
        <is>
          <t>Mr. Mohammad Ali Jinnah</t>
        </is>
      </c>
      <c r="F1668" s="10" t="n">
        <v>12576</v>
      </c>
      <c r="G1668" s="11" t="inlineStr">
        <is>
          <t>Barhatta-1</t>
        </is>
      </c>
      <c r="H1668" s="10" t="n">
        <v>2111</v>
      </c>
      <c r="I1668" s="11" t="inlineStr">
        <is>
          <t>Md. Rezaul Islam</t>
        </is>
      </c>
      <c r="J1668" s="10">
        <f>IF(K1668&gt;0, "Completed", "Pending")</f>
        <v/>
      </c>
      <c r="K1668" s="10">
        <f>COUNTIF('Survey Responses'!F:F, F1668)</f>
        <v/>
      </c>
    </row>
    <row r="1669">
      <c r="A1669" s="10" t="n">
        <v>1668</v>
      </c>
      <c r="B1669" s="11" t="inlineStr">
        <is>
          <t>Mymensingh (GEN-A)</t>
        </is>
      </c>
      <c r="C1669" s="11" t="inlineStr">
        <is>
          <t>Mr. Ziaul Islam</t>
        </is>
      </c>
      <c r="D1669" s="11" t="inlineStr">
        <is>
          <t>Mohonganj GEN-A-1</t>
        </is>
      </c>
      <c r="E1669" s="11" t="inlineStr">
        <is>
          <t>Mr. Mohammad Ali Jinnah</t>
        </is>
      </c>
      <c r="F1669" s="10" t="n">
        <v>12270</v>
      </c>
      <c r="G1669" s="11" t="inlineStr">
        <is>
          <t>Dharmapasha-1</t>
        </is>
      </c>
      <c r="H1669" s="10" t="n">
        <v>2262</v>
      </c>
      <c r="I1669" s="11" t="inlineStr">
        <is>
          <t>Fanivusion Deb Nath</t>
        </is>
      </c>
      <c r="J1669" s="10">
        <f>IF(K1669&gt;0, "Completed", "Pending")</f>
        <v/>
      </c>
      <c r="K1669" s="10">
        <f>COUNTIF('Survey Responses'!F:F, F1669)</f>
        <v/>
      </c>
    </row>
    <row r="1670">
      <c r="A1670" s="10" t="n">
        <v>1669</v>
      </c>
      <c r="B1670" s="11" t="inlineStr">
        <is>
          <t>Mymensingh (GEN-A)</t>
        </is>
      </c>
      <c r="C1670" s="11" t="inlineStr">
        <is>
          <t>Mr. Ziaul Islam</t>
        </is>
      </c>
      <c r="D1670" s="11" t="inlineStr">
        <is>
          <t>Mohonganj GEN-A-1</t>
        </is>
      </c>
      <c r="E1670" s="11" t="inlineStr">
        <is>
          <t>Mr. Mohammad Ali Jinnah</t>
        </is>
      </c>
      <c r="F1670" s="10" t="n">
        <v>12211</v>
      </c>
      <c r="G1670" s="11" t="inlineStr">
        <is>
          <t>Kendua-1</t>
        </is>
      </c>
      <c r="H1670" s="10" t="n">
        <v>2166</v>
      </c>
      <c r="I1670" s="11" t="inlineStr">
        <is>
          <t xml:space="preserve">Md. Ajadul lslam              </t>
        </is>
      </c>
      <c r="J1670" s="10">
        <f>IF(K1670&gt;0, "Completed", "Pending")</f>
        <v/>
      </c>
      <c r="K1670" s="10">
        <f>COUNTIF('Survey Responses'!F:F, F1670)</f>
        <v/>
      </c>
    </row>
    <row r="1671">
      <c r="A1671" s="10" t="n">
        <v>1670</v>
      </c>
      <c r="B1671" s="11" t="inlineStr">
        <is>
          <t>Mymensingh (GEN-A)</t>
        </is>
      </c>
      <c r="C1671" s="11" t="inlineStr">
        <is>
          <t>Mr. Ziaul Islam</t>
        </is>
      </c>
      <c r="D1671" s="11" t="inlineStr">
        <is>
          <t>Mohonganj GEN-A-1</t>
        </is>
      </c>
      <c r="E1671" s="11" t="inlineStr">
        <is>
          <t>Mr. Mohammad Ali Jinnah</t>
        </is>
      </c>
      <c r="F1671" s="10" t="n">
        <v>12206</v>
      </c>
      <c r="G1671" s="11" t="inlineStr">
        <is>
          <t>Madan-1</t>
        </is>
      </c>
      <c r="H1671" s="10" t="n">
        <v>4999</v>
      </c>
      <c r="I1671" s="11" t="inlineStr">
        <is>
          <t>Mr. Md. Asaduzzaman</t>
        </is>
      </c>
      <c r="J1671" s="10">
        <f>IF(K1671&gt;0, "Completed", "Pending")</f>
        <v/>
      </c>
      <c r="K1671" s="10">
        <f>COUNTIF('Survey Responses'!F:F, F1671)</f>
        <v/>
      </c>
    </row>
    <row r="1672">
      <c r="A1672" s="10" t="n">
        <v>1671</v>
      </c>
      <c r="B1672" s="11" t="inlineStr">
        <is>
          <t>Mymensingh (GEN-A)</t>
        </is>
      </c>
      <c r="C1672" s="11" t="inlineStr">
        <is>
          <t>Mr. Ziaul Islam</t>
        </is>
      </c>
      <c r="D1672" s="11" t="inlineStr">
        <is>
          <t>Mohonganj GEN-A-1</t>
        </is>
      </c>
      <c r="E1672" s="11" t="inlineStr">
        <is>
          <t>Mr. Mohammad Ali Jinnah</t>
        </is>
      </c>
      <c r="F1672" s="10" t="n">
        <v>10845</v>
      </c>
      <c r="G1672" s="11" t="inlineStr">
        <is>
          <t>Mohonganj-1</t>
        </is>
      </c>
      <c r="H1672" s="10" t="n">
        <v>3003</v>
      </c>
      <c r="I1672" s="11" t="inlineStr">
        <is>
          <t>Md. Jobayeth Mia</t>
        </is>
      </c>
      <c r="J1672" s="10">
        <f>IF(K1672&gt;0, "Completed", "Pending")</f>
        <v/>
      </c>
      <c r="K1672" s="10">
        <f>COUNTIF('Survey Responses'!F:F, F1672)</f>
        <v/>
      </c>
    </row>
    <row r="1673">
      <c r="A1673" s="10" t="n">
        <v>1672</v>
      </c>
      <c r="B1673" s="11" t="inlineStr">
        <is>
          <t>Mymensingh (GEN-A)</t>
        </is>
      </c>
      <c r="C1673" s="11" t="inlineStr">
        <is>
          <t>Mr. Ziaul Islam</t>
        </is>
      </c>
      <c r="D1673" s="11" t="inlineStr">
        <is>
          <t>Mohonganj GEN-A-1</t>
        </is>
      </c>
      <c r="E1673" s="11" t="inlineStr">
        <is>
          <t>Mr. Mohammad Ali Jinnah</t>
        </is>
      </c>
      <c r="F1673" s="10" t="n">
        <v>10846</v>
      </c>
      <c r="G1673" s="11" t="inlineStr">
        <is>
          <t>Mohonganj-2</t>
        </is>
      </c>
      <c r="H1673" s="10" t="n">
        <v>2263</v>
      </c>
      <c r="I1673" s="11" t="inlineStr">
        <is>
          <t>Md. Mofidul Islam</t>
        </is>
      </c>
      <c r="J1673" s="10">
        <f>IF(K1673&gt;0, "Completed", "Pending")</f>
        <v/>
      </c>
      <c r="K1673" s="10">
        <f>COUNTIF('Survey Responses'!F:F, F1673)</f>
        <v/>
      </c>
    </row>
    <row r="1674">
      <c r="A1674" s="10" t="n">
        <v>1673</v>
      </c>
      <c r="B1674" s="11" t="inlineStr">
        <is>
          <t>Mymensingh (GEN-A)</t>
        </is>
      </c>
      <c r="C1674" s="11" t="inlineStr">
        <is>
          <t>Mr. Ziaul Islam</t>
        </is>
      </c>
      <c r="D1674" s="11" t="inlineStr">
        <is>
          <t>Mohonganj GEN-A-1</t>
        </is>
      </c>
      <c r="E1674" s="11" t="inlineStr">
        <is>
          <t>Mr. Mohammad Ali Jinnah</t>
        </is>
      </c>
      <c r="F1674" s="10" t="n">
        <v>14555</v>
      </c>
      <c r="G1674" s="11" t="inlineStr">
        <is>
          <t>Mohonganj-3</t>
        </is>
      </c>
      <c r="H1674" s="10" t="n">
        <v>7665</v>
      </c>
      <c r="I1674" s="11" t="inlineStr">
        <is>
          <t>Mr. Zahid Hasan</t>
        </is>
      </c>
      <c r="J1674" s="10">
        <f>IF(K1674&gt;0, "Completed", "Pending")</f>
        <v/>
      </c>
      <c r="K1674" s="10">
        <f>COUNTIF('Survey Responses'!F:F, F1674)</f>
        <v/>
      </c>
    </row>
    <row r="1675">
      <c r="A1675" s="10" t="n">
        <v>1674</v>
      </c>
      <c r="B1675" s="11" t="inlineStr">
        <is>
          <t>Mymensingh (GEN-A)</t>
        </is>
      </c>
      <c r="C1675" s="11" t="inlineStr">
        <is>
          <t>Mr. Ziaul Islam</t>
        </is>
      </c>
      <c r="D1675" s="11" t="inlineStr">
        <is>
          <t>Muktagacha GEN-A-1</t>
        </is>
      </c>
      <c r="E1675" s="11" t="inlineStr">
        <is>
          <t>Mr. Eshtyaque Ahmed Khan</t>
        </is>
      </c>
      <c r="F1675" s="10" t="n">
        <v>12952</v>
      </c>
      <c r="G1675" s="11" t="inlineStr">
        <is>
          <t>Chachua-Kalibari-1</t>
        </is>
      </c>
      <c r="H1675" s="10" t="n">
        <v>1931</v>
      </c>
      <c r="I1675" s="11" t="inlineStr">
        <is>
          <t>Md. Abu Syed Miah</t>
        </is>
      </c>
      <c r="J1675" s="10">
        <f>IF(K1675&gt;0, "Completed", "Pending")</f>
        <v/>
      </c>
      <c r="K1675" s="10">
        <f>COUNTIF('Survey Responses'!F:F, F1675)</f>
        <v/>
      </c>
    </row>
    <row r="1676">
      <c r="A1676" s="10" t="n">
        <v>1675</v>
      </c>
      <c r="B1676" s="11" t="inlineStr">
        <is>
          <t>Mymensingh (GEN-A)</t>
        </is>
      </c>
      <c r="C1676" s="11" t="inlineStr">
        <is>
          <t>Mr. Ziaul Islam</t>
        </is>
      </c>
      <c r="D1676" s="11" t="inlineStr">
        <is>
          <t>Muktagacha GEN-A-1</t>
        </is>
      </c>
      <c r="E1676" s="11" t="inlineStr">
        <is>
          <t>Mr. Eshtyaque Ahmed Khan</t>
        </is>
      </c>
      <c r="F1676" s="10" t="n">
        <v>14124</v>
      </c>
      <c r="G1676" s="11" t="inlineStr">
        <is>
          <t>Chachua-Kalibari-2</t>
        </is>
      </c>
      <c r="H1676" s="10" t="n">
        <v>7412</v>
      </c>
      <c r="I1676" s="11" t="inlineStr">
        <is>
          <t>Mr. Deluwer Husen</t>
        </is>
      </c>
      <c r="J1676" s="10">
        <f>IF(K1676&gt;0, "Completed", "Pending")</f>
        <v/>
      </c>
      <c r="K1676" s="10">
        <f>COUNTIF('Survey Responses'!F:F, F1676)</f>
        <v/>
      </c>
    </row>
    <row r="1677">
      <c r="A1677" s="10" t="n">
        <v>1676</v>
      </c>
      <c r="B1677" s="11" t="inlineStr">
        <is>
          <t>Mymensingh (GEN-A)</t>
        </is>
      </c>
      <c r="C1677" s="11" t="inlineStr">
        <is>
          <t>Mr. Ziaul Islam</t>
        </is>
      </c>
      <c r="D1677" s="11" t="inlineStr">
        <is>
          <t>Muktagacha GEN-A-1</t>
        </is>
      </c>
      <c r="E1677" s="11" t="inlineStr">
        <is>
          <t>Mr. Eshtyaque Ahmed Khan</t>
        </is>
      </c>
      <c r="F1677" s="10" t="n">
        <v>10826</v>
      </c>
      <c r="G1677" s="11" t="inlineStr">
        <is>
          <t>Muktagacha-1</t>
        </is>
      </c>
      <c r="H1677" s="10" t="n">
        <v>6385</v>
      </c>
      <c r="I1677" s="11" t="inlineStr">
        <is>
          <t>Mr. Md. Rashel Miah</t>
        </is>
      </c>
      <c r="J1677" s="10">
        <f>IF(K1677&gt;0, "Completed", "Pending")</f>
        <v/>
      </c>
      <c r="K1677" s="10">
        <f>COUNTIF('Survey Responses'!F:F, F1677)</f>
        <v/>
      </c>
    </row>
    <row r="1678">
      <c r="A1678" s="10" t="n">
        <v>1677</v>
      </c>
      <c r="B1678" s="11" t="inlineStr">
        <is>
          <t>Mymensingh (GEN-A)</t>
        </is>
      </c>
      <c r="C1678" s="11" t="inlineStr">
        <is>
          <t>Mr. Ziaul Islam</t>
        </is>
      </c>
      <c r="D1678" s="11" t="inlineStr">
        <is>
          <t>Muktagacha GEN-A-1</t>
        </is>
      </c>
      <c r="E1678" s="11" t="inlineStr">
        <is>
          <t>Mr. Eshtyaque Ahmed Khan</t>
        </is>
      </c>
      <c r="F1678" s="10" t="n">
        <v>10827</v>
      </c>
      <c r="G1678" s="11" t="inlineStr">
        <is>
          <t>Muktagacha-2</t>
        </is>
      </c>
      <c r="H1678" s="10" t="n">
        <v>1332</v>
      </c>
      <c r="I1678" s="11" t="inlineStr">
        <is>
          <t>Md. Hasem Ali</t>
        </is>
      </c>
      <c r="J1678" s="10">
        <f>IF(K1678&gt;0, "Completed", "Pending")</f>
        <v/>
      </c>
      <c r="K1678" s="10">
        <f>COUNTIF('Survey Responses'!F:F, F1678)</f>
        <v/>
      </c>
    </row>
    <row r="1679">
      <c r="A1679" s="10" t="n">
        <v>1678</v>
      </c>
      <c r="B1679" s="11" t="inlineStr">
        <is>
          <t>Mymensingh (GEN-A)</t>
        </is>
      </c>
      <c r="C1679" s="11" t="inlineStr">
        <is>
          <t>Mr. Ziaul Islam</t>
        </is>
      </c>
      <c r="D1679" s="11" t="inlineStr">
        <is>
          <t>Muktagacha GEN-A-1</t>
        </is>
      </c>
      <c r="E1679" s="11" t="inlineStr">
        <is>
          <t>Mr. Eshtyaque Ahmed Khan</t>
        </is>
      </c>
      <c r="F1679" s="10" t="n">
        <v>10831</v>
      </c>
      <c r="G1679" s="11" t="inlineStr">
        <is>
          <t>Muktagacha-3</t>
        </is>
      </c>
      <c r="H1679" s="10" t="n">
        <v>6326</v>
      </c>
      <c r="I1679" s="11" t="inlineStr">
        <is>
          <t>Mr. Md. Ali Hossain</t>
        </is>
      </c>
      <c r="J1679" s="10">
        <f>IF(K1679&gt;0, "Completed", "Pending")</f>
        <v/>
      </c>
      <c r="K1679" s="10">
        <f>COUNTIF('Survey Responses'!F:F, F1679)</f>
        <v/>
      </c>
    </row>
    <row r="1680">
      <c r="A1680" s="10" t="n">
        <v>1679</v>
      </c>
      <c r="B1680" s="11" t="inlineStr">
        <is>
          <t>Mymensingh (GEN-A)</t>
        </is>
      </c>
      <c r="C1680" s="11" t="inlineStr">
        <is>
          <t>Mr. Ziaul Islam</t>
        </is>
      </c>
      <c r="D1680" s="11" t="inlineStr">
        <is>
          <t>Muktagacha GEN-A-1</t>
        </is>
      </c>
      <c r="E1680" s="11" t="inlineStr">
        <is>
          <t>Mr. Eshtyaque Ahmed Khan</t>
        </is>
      </c>
      <c r="F1680" s="10" t="n">
        <v>10816</v>
      </c>
      <c r="G1680" s="11" t="inlineStr">
        <is>
          <t>Trisal-1</t>
        </is>
      </c>
      <c r="H1680" s="10" t="n">
        <v>1524</v>
      </c>
      <c r="I1680" s="11" t="inlineStr">
        <is>
          <t>Uttam Kumer Ray</t>
        </is>
      </c>
      <c r="J1680" s="10">
        <f>IF(K1680&gt;0, "Completed", "Pending")</f>
        <v/>
      </c>
      <c r="K1680" s="10">
        <f>COUNTIF('Survey Responses'!F:F, F1680)</f>
        <v/>
      </c>
    </row>
    <row r="1681">
      <c r="A1681" s="10" t="n">
        <v>1680</v>
      </c>
      <c r="B1681" s="11" t="inlineStr">
        <is>
          <t>Mymensingh (GEN-A)</t>
        </is>
      </c>
      <c r="C1681" s="11" t="inlineStr">
        <is>
          <t>Mr. Ziaul Islam</t>
        </is>
      </c>
      <c r="D1681" s="11" t="inlineStr">
        <is>
          <t>Muktagacha GEN-A-1</t>
        </is>
      </c>
      <c r="E1681" s="11" t="inlineStr">
        <is>
          <t>Mr. Eshtyaque Ahmed Khan</t>
        </is>
      </c>
      <c r="F1681" s="10" t="n">
        <v>13101</v>
      </c>
      <c r="G1681" s="11" t="inlineStr">
        <is>
          <t>Trisal-2</t>
        </is>
      </c>
      <c r="H1681" s="10" t="n">
        <v>9060</v>
      </c>
      <c r="I1681" s="11" t="inlineStr">
        <is>
          <t>Mr. Ornob Chakraborty</t>
        </is>
      </c>
      <c r="J1681" s="10">
        <f>IF(K1681&gt;0, "Completed", "Pending")</f>
        <v/>
      </c>
      <c r="K1681" s="10">
        <f>COUNTIF('Survey Responses'!F:F, F1681)</f>
        <v/>
      </c>
    </row>
    <row r="1682">
      <c r="A1682" s="10" t="n">
        <v>1681</v>
      </c>
      <c r="B1682" s="11" t="inlineStr">
        <is>
          <t>Mymensingh (GEN-A)</t>
        </is>
      </c>
      <c r="C1682" s="11" t="inlineStr">
        <is>
          <t>Mr. Ziaul Islam</t>
        </is>
      </c>
      <c r="D1682" s="11" t="inlineStr">
        <is>
          <t>Mymensingh GEN-A-1</t>
        </is>
      </c>
      <c r="E1682" s="11" t="inlineStr">
        <is>
          <t>Nure Alom Siddiki</t>
        </is>
      </c>
      <c r="F1682" s="10" t="n">
        <v>10818</v>
      </c>
      <c r="G1682" s="11" t="inlineStr">
        <is>
          <t>CBMCBH-1</t>
        </is>
      </c>
      <c r="H1682" s="10" t="n">
        <v>3939</v>
      </c>
      <c r="I1682" s="11" t="inlineStr">
        <is>
          <t>Mr. Sahadat Hossain</t>
        </is>
      </c>
      <c r="J1682" s="10">
        <f>IF(K1682&gt;0, "Completed", "Pending")</f>
        <v/>
      </c>
      <c r="K1682" s="10">
        <f>COUNTIF('Survey Responses'!F:F, F1682)</f>
        <v/>
      </c>
    </row>
    <row r="1683">
      <c r="A1683" s="10" t="n">
        <v>1682</v>
      </c>
      <c r="B1683" s="11" t="inlineStr">
        <is>
          <t>Mymensingh (GEN-A)</t>
        </is>
      </c>
      <c r="C1683" s="11" t="inlineStr">
        <is>
          <t>Mr. Ziaul Islam</t>
        </is>
      </c>
      <c r="D1683" s="11" t="inlineStr">
        <is>
          <t>Mymensingh GEN-A-1</t>
        </is>
      </c>
      <c r="E1683" s="11" t="inlineStr">
        <is>
          <t>Nure Alom Siddiki</t>
        </is>
      </c>
      <c r="F1683" s="10" t="n">
        <v>10819</v>
      </c>
      <c r="G1683" s="11" t="inlineStr">
        <is>
          <t>CBMCBH-2</t>
        </is>
      </c>
      <c r="H1683" s="10" t="n">
        <v>3016</v>
      </c>
      <c r="I1683" s="11" t="inlineStr">
        <is>
          <t>Md. Nayan Hossain</t>
        </is>
      </c>
      <c r="J1683" s="10">
        <f>IF(K1683&gt;0, "Completed", "Pending")</f>
        <v/>
      </c>
      <c r="K1683" s="10">
        <f>COUNTIF('Survey Responses'!F:F, F1683)</f>
        <v/>
      </c>
    </row>
    <row r="1684">
      <c r="A1684" s="10" t="n">
        <v>1683</v>
      </c>
      <c r="B1684" s="11" t="inlineStr">
        <is>
          <t>Mymensingh (GEN-A)</t>
        </is>
      </c>
      <c r="C1684" s="11" t="inlineStr">
        <is>
          <t>Mr. Ziaul Islam</t>
        </is>
      </c>
      <c r="D1684" s="11" t="inlineStr">
        <is>
          <t>Mymensingh GEN-A-1</t>
        </is>
      </c>
      <c r="E1684" s="11" t="inlineStr">
        <is>
          <t>Nure Alom Siddiki</t>
        </is>
      </c>
      <c r="F1684" s="10" t="n">
        <v>14557</v>
      </c>
      <c r="G1684" s="11" t="inlineStr">
        <is>
          <t>CBMCBH-3</t>
        </is>
      </c>
      <c r="H1684" s="10" t="n">
        <v>1318</v>
      </c>
      <c r="I1684" s="11" t="inlineStr">
        <is>
          <t>Dhinesh Chandra Ray</t>
        </is>
      </c>
      <c r="J1684" s="10">
        <f>IF(K1684&gt;0, "Completed", "Pending")</f>
        <v/>
      </c>
      <c r="K1684" s="10">
        <f>COUNTIF('Survey Responses'!F:F, F1684)</f>
        <v/>
      </c>
    </row>
    <row r="1685">
      <c r="A1685" s="10" t="n">
        <v>1684</v>
      </c>
      <c r="B1685" s="11" t="inlineStr">
        <is>
          <t>Mymensingh (GEN-A)</t>
        </is>
      </c>
      <c r="C1685" s="11" t="inlineStr">
        <is>
          <t>Mr. Ziaul Islam</t>
        </is>
      </c>
      <c r="D1685" s="11" t="inlineStr">
        <is>
          <t>Mymensingh GEN-A-1</t>
        </is>
      </c>
      <c r="E1685" s="11" t="inlineStr">
        <is>
          <t>Nure Alom Siddiki</t>
        </is>
      </c>
      <c r="F1685" s="10" t="n">
        <v>14896</v>
      </c>
      <c r="G1685" s="11" t="inlineStr">
        <is>
          <t xml:space="preserve">MYM (Lab Aid-1) </t>
        </is>
      </c>
      <c r="H1685" s="10" t="n">
        <v>9088</v>
      </c>
      <c r="I1685" s="11" t="inlineStr">
        <is>
          <t>Mr. Abir Hossain</t>
        </is>
      </c>
      <c r="J1685" s="10">
        <f>IF(K1685&gt;0, "Completed", "Pending")</f>
        <v/>
      </c>
      <c r="K1685" s="10">
        <f>COUNTIF('Survey Responses'!F:F, F1685)</f>
        <v/>
      </c>
    </row>
    <row r="1686">
      <c r="A1686" s="10" t="n">
        <v>1685</v>
      </c>
      <c r="B1686" s="11" t="inlineStr">
        <is>
          <t>Mymensingh (GEN-A)</t>
        </is>
      </c>
      <c r="C1686" s="11" t="inlineStr">
        <is>
          <t>Mr. Ziaul Islam</t>
        </is>
      </c>
      <c r="D1686" s="11" t="inlineStr">
        <is>
          <t>Mymensingh GEN-A-1</t>
        </is>
      </c>
      <c r="E1686" s="11" t="inlineStr">
        <is>
          <t>Nure Alom Siddiki</t>
        </is>
      </c>
      <c r="F1686" s="10" t="n">
        <v>10823</v>
      </c>
      <c r="G1686" s="11" t="inlineStr">
        <is>
          <t>MYM(Baghmara)</t>
        </is>
      </c>
      <c r="H1686" s="10" t="n">
        <v>1466</v>
      </c>
      <c r="I1686" s="11" t="inlineStr">
        <is>
          <t>Md. Shamim Miah</t>
        </is>
      </c>
      <c r="J1686" s="10">
        <f>IF(K1686&gt;0, "Completed", "Pending")</f>
        <v/>
      </c>
      <c r="K1686" s="10">
        <f>COUNTIF('Survey Responses'!F:F, F1686)</f>
        <v/>
      </c>
    </row>
    <row r="1687">
      <c r="A1687" s="10" t="n">
        <v>1686</v>
      </c>
      <c r="B1687" s="11" t="inlineStr">
        <is>
          <t>Mymensingh (GEN-A)</t>
        </is>
      </c>
      <c r="C1687" s="11" t="inlineStr">
        <is>
          <t>Mr. Ziaul Islam</t>
        </is>
      </c>
      <c r="D1687" s="11" t="inlineStr">
        <is>
          <t>Mymensingh GEN-A-1</t>
        </is>
      </c>
      <c r="E1687" s="11" t="inlineStr">
        <is>
          <t>Nure Alom Siddiki</t>
        </is>
      </c>
      <c r="F1687" s="10" t="n">
        <v>10833</v>
      </c>
      <c r="G1687" s="11" t="inlineStr">
        <is>
          <t>MYM(Delta Hosp.)</t>
        </is>
      </c>
      <c r="H1687" s="10" t="n">
        <v>742</v>
      </c>
      <c r="I1687" s="11" t="inlineStr">
        <is>
          <t>Md. Al-Amin</t>
        </is>
      </c>
      <c r="J1687" s="10">
        <f>IF(K1687&gt;0, "Completed", "Pending")</f>
        <v/>
      </c>
      <c r="K1687" s="10">
        <f>COUNTIF('Survey Responses'!F:F, F1687)</f>
        <v/>
      </c>
    </row>
    <row r="1688">
      <c r="A1688" s="10" t="n">
        <v>1687</v>
      </c>
      <c r="B1688" s="11" t="inlineStr">
        <is>
          <t>Mymensingh (GEN-A)</t>
        </is>
      </c>
      <c r="C1688" s="11" t="inlineStr">
        <is>
          <t>Mr. Ziaul Islam</t>
        </is>
      </c>
      <c r="D1688" s="11" t="inlineStr">
        <is>
          <t>Mymensingh GEN-A-1</t>
        </is>
      </c>
      <c r="E1688" s="11" t="inlineStr">
        <is>
          <t>Nure Alom Siddiki</t>
        </is>
      </c>
      <c r="F1688" s="10" t="n">
        <v>10814</v>
      </c>
      <c r="G1688" s="11" t="inlineStr">
        <is>
          <t>MYM(Swadesh Hosp.-1)</t>
        </is>
      </c>
      <c r="H1688" s="10" t="n">
        <v>8305</v>
      </c>
      <c r="I1688" s="11" t="inlineStr">
        <is>
          <t>Mr. Ripon Chandra Ray</t>
        </is>
      </c>
      <c r="J1688" s="10">
        <f>IF(K1688&gt;0, "Completed", "Pending")</f>
        <v/>
      </c>
      <c r="K1688" s="10">
        <f>COUNTIF('Survey Responses'!F:F, F1688)</f>
        <v/>
      </c>
    </row>
    <row r="1689">
      <c r="A1689" s="10" t="n">
        <v>1688</v>
      </c>
      <c r="B1689" s="11" t="inlineStr">
        <is>
          <t>Mymensingh (GEN-A)</t>
        </is>
      </c>
      <c r="C1689" s="11" t="inlineStr">
        <is>
          <t>Mr. Ziaul Islam</t>
        </is>
      </c>
      <c r="D1689" s="11" t="inlineStr">
        <is>
          <t>Mymensingh GEN-A-1</t>
        </is>
      </c>
      <c r="E1689" s="11" t="inlineStr">
        <is>
          <t>Nure Alom Siddiki</t>
        </is>
      </c>
      <c r="F1689" s="10" t="n">
        <v>10815</v>
      </c>
      <c r="G1689" s="11" t="inlineStr">
        <is>
          <t>MYM(Swadesh Hosp.-2)</t>
        </is>
      </c>
      <c r="H1689" s="10" t="n">
        <v>3426</v>
      </c>
      <c r="I1689" s="11" t="inlineStr">
        <is>
          <t>Mr. Md. Saddam Hossain</t>
        </is>
      </c>
      <c r="J1689" s="10">
        <f>IF(K1689&gt;0, "Completed", "Pending")</f>
        <v/>
      </c>
      <c r="K1689" s="10">
        <f>COUNTIF('Survey Responses'!F:F, F1689)</f>
        <v/>
      </c>
    </row>
    <row r="1690">
      <c r="A1690" s="10" t="n">
        <v>1689</v>
      </c>
      <c r="B1690" s="11" t="inlineStr">
        <is>
          <t>Mymensingh (GEN-A)</t>
        </is>
      </c>
      <c r="C1690" s="11" t="inlineStr">
        <is>
          <t>Mr. Ziaul Islam</t>
        </is>
      </c>
      <c r="D1690" s="11" t="inlineStr">
        <is>
          <t>Mymensingh GEN-A-2</t>
        </is>
      </c>
      <c r="E1690" s="11" t="inlineStr">
        <is>
          <t>Mr. Md. Golam Moktadir</t>
        </is>
      </c>
      <c r="F1690" s="10" t="n">
        <v>10821</v>
      </c>
      <c r="G1690" s="11" t="inlineStr">
        <is>
          <t>Issorgonj-1</t>
        </is>
      </c>
      <c r="H1690" s="10" t="n">
        <v>790</v>
      </c>
      <c r="I1690" s="11" t="inlineStr">
        <is>
          <t>Mr. Shukhon Chandra Das</t>
        </is>
      </c>
      <c r="J1690" s="10">
        <f>IF(K1690&gt;0, "Completed", "Pending")</f>
        <v/>
      </c>
      <c r="K1690" s="10">
        <f>COUNTIF('Survey Responses'!F:F, F1690)</f>
        <v/>
      </c>
    </row>
    <row r="1691">
      <c r="A1691" s="10" t="n">
        <v>1690</v>
      </c>
      <c r="B1691" s="11" t="inlineStr">
        <is>
          <t>Mymensingh (GEN-A)</t>
        </is>
      </c>
      <c r="C1691" s="11" t="inlineStr">
        <is>
          <t>Mr. Ziaul Islam</t>
        </is>
      </c>
      <c r="D1691" s="11" t="inlineStr">
        <is>
          <t>Mymensingh GEN-A-2</t>
        </is>
      </c>
      <c r="E1691" s="11" t="inlineStr">
        <is>
          <t>Mr. Md. Golam Moktadir</t>
        </is>
      </c>
      <c r="F1691" s="10" t="n">
        <v>12327</v>
      </c>
      <c r="G1691" s="11" t="inlineStr">
        <is>
          <t>Issorgonj-2</t>
        </is>
      </c>
      <c r="H1691" s="10" t="n">
        <v>3706</v>
      </c>
      <c r="I1691" s="11" t="inlineStr">
        <is>
          <t>Mr. Md. Kamruzzaman</t>
        </is>
      </c>
      <c r="J1691" s="10">
        <f>IF(K1691&gt;0, "Completed", "Pending")</f>
        <v/>
      </c>
      <c r="K1691" s="10">
        <f>COUNTIF('Survey Responses'!F:F, F1691)</f>
        <v/>
      </c>
    </row>
    <row r="1692">
      <c r="A1692" s="10" t="n">
        <v>1691</v>
      </c>
      <c r="B1692" s="11" t="inlineStr">
        <is>
          <t>Mymensingh (GEN-A)</t>
        </is>
      </c>
      <c r="C1692" s="11" t="inlineStr">
        <is>
          <t>Mr. Ziaul Islam</t>
        </is>
      </c>
      <c r="D1692" s="11" t="inlineStr">
        <is>
          <t>Mymensingh GEN-A-2</t>
        </is>
      </c>
      <c r="E1692" s="11" t="inlineStr">
        <is>
          <t>Mr. Md. Golam Moktadir</t>
        </is>
      </c>
      <c r="F1692" s="10" t="n">
        <v>10828</v>
      </c>
      <c r="G1692" s="11" t="inlineStr">
        <is>
          <t>MYM(Memorial)</t>
        </is>
      </c>
      <c r="H1692" s="10" t="n">
        <v>8787</v>
      </c>
      <c r="I1692" s="11" t="inlineStr">
        <is>
          <t>Mr. Harun-Or-Rashid</t>
        </is>
      </c>
      <c r="J1692" s="10">
        <f>IF(K1692&gt;0, "Completed", "Pending")</f>
        <v/>
      </c>
      <c r="K1692" s="10">
        <f>COUNTIF('Survey Responses'!F:F, F1692)</f>
        <v/>
      </c>
    </row>
    <row r="1693">
      <c r="A1693" s="10" t="n">
        <v>1692</v>
      </c>
      <c r="B1693" s="11" t="inlineStr">
        <is>
          <t>Mymensingh (GEN-A)</t>
        </is>
      </c>
      <c r="C1693" s="11" t="inlineStr">
        <is>
          <t>Mr. Ziaul Islam</t>
        </is>
      </c>
      <c r="D1693" s="11" t="inlineStr">
        <is>
          <t>Mymensingh GEN-A-2</t>
        </is>
      </c>
      <c r="E1693" s="11" t="inlineStr">
        <is>
          <t>Mr. Md. Golam Moktadir</t>
        </is>
      </c>
      <c r="F1693" s="10" t="n">
        <v>10825</v>
      </c>
      <c r="G1693" s="11" t="inlineStr">
        <is>
          <t>MYM(Popular-2)</t>
        </is>
      </c>
      <c r="H1693" s="10" t="n">
        <v>1725</v>
      </c>
      <c r="I1693" s="11" t="inlineStr">
        <is>
          <t>Md. Ashraful Alam</t>
        </is>
      </c>
      <c r="J1693" s="10">
        <f>IF(K1693&gt;0, "Completed", "Pending")</f>
        <v/>
      </c>
      <c r="K1693" s="10">
        <f>COUNTIF('Survey Responses'!F:F, F1693)</f>
        <v/>
      </c>
    </row>
    <row r="1694">
      <c r="A1694" s="10" t="n">
        <v>1693</v>
      </c>
      <c r="B1694" s="11" t="inlineStr">
        <is>
          <t>Mymensingh (GEN-A)</t>
        </is>
      </c>
      <c r="C1694" s="11" t="inlineStr">
        <is>
          <t>Mr. Ziaul Islam</t>
        </is>
      </c>
      <c r="D1694" s="11" t="inlineStr">
        <is>
          <t>Mymensingh GEN-A-2</t>
        </is>
      </c>
      <c r="E1694" s="11" t="inlineStr">
        <is>
          <t>Mr. Md. Golam Moktadir</t>
        </is>
      </c>
      <c r="F1694" s="10" t="n">
        <v>14647</v>
      </c>
      <c r="G1694" s="11" t="inlineStr">
        <is>
          <t>MYM(Popular-4)</t>
        </is>
      </c>
      <c r="H1694" s="10" t="n">
        <v>8939</v>
      </c>
      <c r="I1694" s="11" t="inlineStr">
        <is>
          <t>Md. Fahad</t>
        </is>
      </c>
      <c r="J1694" s="10">
        <f>IF(K1694&gt;0, "Completed", "Pending")</f>
        <v/>
      </c>
      <c r="K1694" s="10">
        <f>COUNTIF('Survey Responses'!F:F, F1694)</f>
        <v/>
      </c>
    </row>
    <row r="1695">
      <c r="A1695" s="10" t="n">
        <v>1694</v>
      </c>
      <c r="B1695" s="11" t="inlineStr">
        <is>
          <t>Mymensingh (GEN-A)</t>
        </is>
      </c>
      <c r="C1695" s="11" t="inlineStr">
        <is>
          <t>Mr. Ziaul Islam</t>
        </is>
      </c>
      <c r="D1695" s="11" t="inlineStr">
        <is>
          <t>Mymensingh GEN-A-2</t>
        </is>
      </c>
      <c r="E1695" s="11" t="inlineStr">
        <is>
          <t>Mr. Md. Golam Moktadir</t>
        </is>
      </c>
      <c r="F1695" s="10" t="n">
        <v>10836</v>
      </c>
      <c r="G1695" s="11" t="inlineStr">
        <is>
          <t>MYM(Pranto Sp. Hosp.)</t>
        </is>
      </c>
      <c r="H1695" s="10" t="n">
        <v>7572</v>
      </c>
      <c r="I1695" s="11" t="inlineStr">
        <is>
          <t>Mr. Animesh Roy</t>
        </is>
      </c>
      <c r="J1695" s="10">
        <f>IF(K1695&gt;0, "Completed", "Pending")</f>
        <v/>
      </c>
      <c r="K1695" s="10">
        <f>COUNTIF('Survey Responses'!F:F, F1695)</f>
        <v/>
      </c>
    </row>
    <row r="1696">
      <c r="A1696" s="10" t="n">
        <v>1695</v>
      </c>
      <c r="B1696" s="11" t="inlineStr">
        <is>
          <t>Mymensingh (GEN-A)</t>
        </is>
      </c>
      <c r="C1696" s="11" t="inlineStr">
        <is>
          <t>Mr. Ziaul Islam</t>
        </is>
      </c>
      <c r="D1696" s="11" t="inlineStr">
        <is>
          <t>Mymensingh GEN-A-2</t>
        </is>
      </c>
      <c r="E1696" s="11" t="inlineStr">
        <is>
          <t>Mr. Md. Golam Moktadir</t>
        </is>
      </c>
      <c r="F1696" s="10" t="n">
        <v>10830</v>
      </c>
      <c r="G1696" s="11" t="inlineStr">
        <is>
          <t>MYM(Pure-Digilab)</t>
        </is>
      </c>
      <c r="H1696" s="10" t="n">
        <v>8303</v>
      </c>
      <c r="I1696" s="11" t="inlineStr">
        <is>
          <t>Mr. Md. Akibul Huq Ovi</t>
        </is>
      </c>
      <c r="J1696" s="10">
        <f>IF(K1696&gt;0, "Completed", "Pending")</f>
        <v/>
      </c>
      <c r="K1696" s="10">
        <f>COUNTIF('Survey Responses'!F:F, F1696)</f>
        <v/>
      </c>
    </row>
    <row r="1697">
      <c r="A1697" s="10" t="n">
        <v>1696</v>
      </c>
      <c r="B1697" s="11" t="inlineStr">
        <is>
          <t>Mymensingh (GEN-A)</t>
        </is>
      </c>
      <c r="C1697" s="11" t="inlineStr">
        <is>
          <t>Mr. Ziaul Islam</t>
        </is>
      </c>
      <c r="D1697" s="11" t="inlineStr">
        <is>
          <t>Mymensingh GEN-A-3</t>
        </is>
      </c>
      <c r="E1697" s="11" t="inlineStr">
        <is>
          <t>Mr. Md. Ershad Ali</t>
        </is>
      </c>
      <c r="F1697" s="10" t="n">
        <v>10834</v>
      </c>
      <c r="G1697" s="11" t="inlineStr">
        <is>
          <t>MYM(Al Chemi)</t>
        </is>
      </c>
      <c r="H1697" s="10" t="n">
        <v>7376</v>
      </c>
      <c r="I1697" s="11" t="inlineStr">
        <is>
          <t>Mr. Prohollad Kumar Sarker</t>
        </is>
      </c>
      <c r="J1697" s="10">
        <f>IF(K1697&gt;0, "Completed", "Pending")</f>
        <v/>
      </c>
      <c r="K1697" s="10">
        <f>COUNTIF('Survey Responses'!F:F, F1697)</f>
        <v/>
      </c>
    </row>
    <row r="1698">
      <c r="A1698" s="10" t="n">
        <v>1697</v>
      </c>
      <c r="B1698" s="11" t="inlineStr">
        <is>
          <t>Mymensingh (GEN-A)</t>
        </is>
      </c>
      <c r="C1698" s="11" t="inlineStr">
        <is>
          <t>Mr. Ziaul Islam</t>
        </is>
      </c>
      <c r="D1698" s="11" t="inlineStr">
        <is>
          <t>Mymensingh GEN-A-3</t>
        </is>
      </c>
      <c r="E1698" s="11" t="inlineStr">
        <is>
          <t>Mr. Md. Ershad Ali</t>
        </is>
      </c>
      <c r="F1698" s="10" t="n">
        <v>10829</v>
      </c>
      <c r="G1698" s="11" t="inlineStr">
        <is>
          <t>MYM(New Medicare)</t>
        </is>
      </c>
      <c r="H1698" s="10" t="n">
        <v>8844</v>
      </c>
      <c r="I1698" s="11" t="inlineStr">
        <is>
          <t>Mr. Fahariar Hasan Mahmud</t>
        </is>
      </c>
      <c r="J1698" s="10">
        <f>IF(K1698&gt;0, "Completed", "Pending")</f>
        <v/>
      </c>
      <c r="K1698" s="10">
        <f>COUNTIF('Survey Responses'!F:F, F1698)</f>
        <v/>
      </c>
    </row>
    <row r="1699">
      <c r="A1699" s="10" t="n">
        <v>1698</v>
      </c>
      <c r="B1699" s="11" t="inlineStr">
        <is>
          <t>Mymensingh (GEN-A)</t>
        </is>
      </c>
      <c r="C1699" s="11" t="inlineStr">
        <is>
          <t>Mr. Ziaul Islam</t>
        </is>
      </c>
      <c r="D1699" s="11" t="inlineStr">
        <is>
          <t>Mymensingh GEN-A-3</t>
        </is>
      </c>
      <c r="E1699" s="11" t="inlineStr">
        <is>
          <t>Mr. Md. Ershad Ali</t>
        </is>
      </c>
      <c r="F1699" s="10" t="n">
        <v>10822</v>
      </c>
      <c r="G1699" s="11" t="inlineStr">
        <is>
          <t>MYM(Nexus Hosp.)</t>
        </is>
      </c>
      <c r="H1699" s="10" t="n">
        <v>525</v>
      </c>
      <c r="I1699" s="11" t="inlineStr">
        <is>
          <t>A. K. M. Shamsur Rahman</t>
        </is>
      </c>
      <c r="J1699" s="10">
        <f>IF(K1699&gt;0, "Completed", "Pending")</f>
        <v/>
      </c>
      <c r="K1699" s="10">
        <f>COUNTIF('Survey Responses'!F:F, F1699)</f>
        <v/>
      </c>
    </row>
    <row r="1700">
      <c r="A1700" s="10" t="n">
        <v>1699</v>
      </c>
      <c r="B1700" s="11" t="inlineStr">
        <is>
          <t>Mymensingh (GEN-A)</t>
        </is>
      </c>
      <c r="C1700" s="11" t="inlineStr">
        <is>
          <t>Mr. Ziaul Islam</t>
        </is>
      </c>
      <c r="D1700" s="11" t="inlineStr">
        <is>
          <t>Mymensingh GEN-A-3</t>
        </is>
      </c>
      <c r="E1700" s="11" t="inlineStr">
        <is>
          <t>Mr. Md. Ershad Ali</t>
        </is>
      </c>
      <c r="F1700" s="10" t="n">
        <v>10820</v>
      </c>
      <c r="G1700" s="11" t="inlineStr">
        <is>
          <t>MYM(Popular-1)</t>
        </is>
      </c>
      <c r="H1700" s="10" t="n">
        <v>2606</v>
      </c>
      <c r="I1700" s="11" t="inlineStr">
        <is>
          <t>Jahangir Alam</t>
        </is>
      </c>
      <c r="J1700" s="10">
        <f>IF(K1700&gt;0, "Completed", "Pending")</f>
        <v/>
      </c>
      <c r="K1700" s="10">
        <f>COUNTIF('Survey Responses'!F:F, F1700)</f>
        <v/>
      </c>
    </row>
    <row r="1701">
      <c r="A1701" s="10" t="n">
        <v>1700</v>
      </c>
      <c r="B1701" s="11" t="inlineStr">
        <is>
          <t>Mymensingh (GEN-A)</t>
        </is>
      </c>
      <c r="C1701" s="11" t="inlineStr">
        <is>
          <t>Mr. Ziaul Islam</t>
        </is>
      </c>
      <c r="D1701" s="11" t="inlineStr">
        <is>
          <t>Mymensingh GEN-A-3</t>
        </is>
      </c>
      <c r="E1701" s="11" t="inlineStr">
        <is>
          <t>Mr. Md. Ershad Ali</t>
        </is>
      </c>
      <c r="F1701" s="10" t="n">
        <v>13617</v>
      </c>
      <c r="G1701" s="11" t="inlineStr">
        <is>
          <t>MYM(Popular-3)</t>
        </is>
      </c>
      <c r="H1701" s="10" t="n">
        <v>7226</v>
      </c>
      <c r="I1701" s="11" t="inlineStr">
        <is>
          <t>Mr. Md. Rashel Dewan</t>
        </is>
      </c>
      <c r="J1701" s="10">
        <f>IF(K1701&gt;0, "Completed", "Pending")</f>
        <v/>
      </c>
      <c r="K1701" s="10">
        <f>COUNTIF('Survey Responses'!F:F, F1701)</f>
        <v/>
      </c>
    </row>
    <row r="1702">
      <c r="A1702" s="10" t="n">
        <v>1701</v>
      </c>
      <c r="B1702" s="11" t="inlineStr">
        <is>
          <t>Mymensingh (GEN-A)</t>
        </is>
      </c>
      <c r="C1702" s="11" t="inlineStr">
        <is>
          <t>Mr. Ziaul Islam</t>
        </is>
      </c>
      <c r="D1702" s="11" t="inlineStr">
        <is>
          <t>Mymensingh GEN-A-3</t>
        </is>
      </c>
      <c r="E1702" s="11" t="inlineStr">
        <is>
          <t>Mr. Md. Ershad Ali</t>
        </is>
      </c>
      <c r="F1702" s="10" t="n">
        <v>10832</v>
      </c>
      <c r="G1702" s="11" t="inlineStr">
        <is>
          <t>MYM(Sayem Hosp.)</t>
        </is>
      </c>
      <c r="H1702" s="10" t="n">
        <v>1897</v>
      </c>
      <c r="I1702" s="11" t="inlineStr">
        <is>
          <t>Md. Mostakim Ali</t>
        </is>
      </c>
      <c r="J1702" s="10">
        <f>IF(K1702&gt;0, "Completed", "Pending")</f>
        <v/>
      </c>
      <c r="K1702" s="10">
        <f>COUNTIF('Survey Responses'!F:F, F1702)</f>
        <v/>
      </c>
    </row>
    <row r="1703">
      <c r="A1703" s="10" t="n">
        <v>1702</v>
      </c>
      <c r="B1703" s="11" t="inlineStr">
        <is>
          <t>Mymensingh (GEN-A)</t>
        </is>
      </c>
      <c r="C1703" s="11" t="inlineStr">
        <is>
          <t>Mr. Ziaul Islam</t>
        </is>
      </c>
      <c r="D1703" s="11" t="inlineStr">
        <is>
          <t>Mymensingh GEN-A-3</t>
        </is>
      </c>
      <c r="E1703" s="11" t="inlineStr">
        <is>
          <t>Mr. Md. Ershad Ali</t>
        </is>
      </c>
      <c r="F1703" s="10" t="n">
        <v>10817</v>
      </c>
      <c r="G1703" s="11" t="inlineStr">
        <is>
          <t>MYM(Station Road)</t>
        </is>
      </c>
      <c r="H1703" s="10" t="n">
        <v>7461</v>
      </c>
      <c r="I1703" s="11" t="inlineStr">
        <is>
          <t>Mr. Promananda Chandra Barman</t>
        </is>
      </c>
      <c r="J1703" s="10">
        <f>IF(K1703&gt;0, "Completed", "Pending")</f>
        <v/>
      </c>
      <c r="K1703" s="10">
        <f>COUNTIF('Survey Responses'!F:F, F1703)</f>
        <v/>
      </c>
    </row>
    <row r="1704">
      <c r="A1704" s="10" t="n">
        <v>1703</v>
      </c>
      <c r="B1704" s="11" t="inlineStr">
        <is>
          <t>Mymensingh (GEN-A)</t>
        </is>
      </c>
      <c r="C1704" s="11" t="inlineStr">
        <is>
          <t>Mr. Ziaul Islam</t>
        </is>
      </c>
      <c r="D1704" s="11" t="inlineStr">
        <is>
          <t>Netrokona GEN-A-1</t>
        </is>
      </c>
      <c r="E1704" s="11" t="inlineStr">
        <is>
          <t>Mr. Muhammad Zakir Hossain</t>
        </is>
      </c>
      <c r="F1704" s="10" t="n">
        <v>10824</v>
      </c>
      <c r="G1704" s="11" t="inlineStr">
        <is>
          <t>MYM(Gouripur)</t>
        </is>
      </c>
      <c r="H1704" s="10" t="n">
        <v>2171</v>
      </c>
      <c r="I1704" s="11" t="inlineStr">
        <is>
          <t>Md. Mahfuzur Rahman</t>
        </is>
      </c>
      <c r="J1704" s="10">
        <f>IF(K1704&gt;0, "Completed", "Pending")</f>
        <v/>
      </c>
      <c r="K1704" s="10">
        <f>COUNTIF('Survey Responses'!F:F, F1704)</f>
        <v/>
      </c>
    </row>
    <row r="1705">
      <c r="A1705" s="10" t="n">
        <v>1704</v>
      </c>
      <c r="B1705" s="11" t="inlineStr">
        <is>
          <t>Mymensingh (GEN-A)</t>
        </is>
      </c>
      <c r="C1705" s="11" t="inlineStr">
        <is>
          <t>Mr. Ziaul Islam</t>
        </is>
      </c>
      <c r="D1705" s="11" t="inlineStr">
        <is>
          <t>Netrokona GEN-A-1</t>
        </is>
      </c>
      <c r="E1705" s="11" t="inlineStr">
        <is>
          <t>Mr. Muhammad Zakir Hossain</t>
        </is>
      </c>
      <c r="F1705" s="10" t="n">
        <v>12977</v>
      </c>
      <c r="G1705" s="11" t="inlineStr">
        <is>
          <t>MYM(Gouripur)-2</t>
        </is>
      </c>
      <c r="H1705" s="10" t="n">
        <v>5286</v>
      </c>
      <c r="I1705" s="11" t="inlineStr">
        <is>
          <t>Mr. Md. Juel Islam</t>
        </is>
      </c>
      <c r="J1705" s="10">
        <f>IF(K1705&gt;0, "Completed", "Pending")</f>
        <v/>
      </c>
      <c r="K1705" s="10">
        <f>COUNTIF('Survey Responses'!F:F, F1705)</f>
        <v/>
      </c>
    </row>
    <row r="1706">
      <c r="A1706" s="10" t="n">
        <v>1705</v>
      </c>
      <c r="B1706" s="11" t="inlineStr">
        <is>
          <t>Mymensingh (GEN-A)</t>
        </is>
      </c>
      <c r="C1706" s="11" t="inlineStr">
        <is>
          <t>Mr. Ziaul Islam</t>
        </is>
      </c>
      <c r="D1706" s="11" t="inlineStr">
        <is>
          <t>Netrokona GEN-A-1</t>
        </is>
      </c>
      <c r="E1706" s="11" t="inlineStr">
        <is>
          <t>Mr. Muhammad Zakir Hossain</t>
        </is>
      </c>
      <c r="F1706" s="10" t="n">
        <v>10844</v>
      </c>
      <c r="G1706" s="11" t="inlineStr">
        <is>
          <t>Netrokona-1</t>
        </is>
      </c>
      <c r="H1706" s="10" t="n">
        <v>5027</v>
      </c>
      <c r="I1706" s="11" t="inlineStr">
        <is>
          <t>Mr. Md. Nazmul Islam</t>
        </is>
      </c>
      <c r="J1706" s="10">
        <f>IF(K1706&gt;0, "Completed", "Pending")</f>
        <v/>
      </c>
      <c r="K1706" s="10">
        <f>COUNTIF('Survey Responses'!F:F, F1706)</f>
        <v/>
      </c>
    </row>
    <row r="1707">
      <c r="A1707" s="10" t="n">
        <v>1706</v>
      </c>
      <c r="B1707" s="11" t="inlineStr">
        <is>
          <t>Mymensingh (GEN-A)</t>
        </is>
      </c>
      <c r="C1707" s="11" t="inlineStr">
        <is>
          <t>Mr. Ziaul Islam</t>
        </is>
      </c>
      <c r="D1707" s="11" t="inlineStr">
        <is>
          <t>Netrokona GEN-A-1</t>
        </is>
      </c>
      <c r="E1707" s="11" t="inlineStr">
        <is>
          <t>Mr. Muhammad Zakir Hossain</t>
        </is>
      </c>
      <c r="F1707" s="10" t="n">
        <v>10848</v>
      </c>
      <c r="G1707" s="11" t="inlineStr">
        <is>
          <t>Netrokona-2</t>
        </is>
      </c>
      <c r="H1707" s="10" t="n">
        <v>1418</v>
      </c>
      <c r="I1707" s="11" t="inlineStr">
        <is>
          <t>Mir Shahave</t>
        </is>
      </c>
      <c r="J1707" s="10">
        <f>IF(K1707&gt;0, "Completed", "Pending")</f>
        <v/>
      </c>
      <c r="K1707" s="10">
        <f>COUNTIF('Survey Responses'!F:F, F1707)</f>
        <v/>
      </c>
    </row>
    <row r="1708">
      <c r="A1708" s="10" t="n">
        <v>1707</v>
      </c>
      <c r="B1708" s="11" t="inlineStr">
        <is>
          <t>Mymensingh (GEN-A)</t>
        </is>
      </c>
      <c r="C1708" s="11" t="inlineStr">
        <is>
          <t>Mr. Ziaul Islam</t>
        </is>
      </c>
      <c r="D1708" s="11" t="inlineStr">
        <is>
          <t>Netrokona GEN-A-1</t>
        </is>
      </c>
      <c r="E1708" s="11" t="inlineStr">
        <is>
          <t>Mr. Muhammad Zakir Hossain</t>
        </is>
      </c>
      <c r="F1708" s="10" t="n">
        <v>10849</v>
      </c>
      <c r="G1708" s="11" t="inlineStr">
        <is>
          <t>Netrokona-3</t>
        </is>
      </c>
      <c r="H1708" s="10" t="n">
        <v>638</v>
      </c>
      <c r="I1708" s="11" t="inlineStr">
        <is>
          <t>Md. Muklesur Rahman Khan</t>
        </is>
      </c>
      <c r="J1708" s="10">
        <f>IF(K1708&gt;0, "Completed", "Pending")</f>
        <v/>
      </c>
      <c r="K1708" s="10">
        <f>COUNTIF('Survey Responses'!F:F, F1708)</f>
        <v/>
      </c>
    </row>
    <row r="1709">
      <c r="A1709" s="10" t="n">
        <v>1708</v>
      </c>
      <c r="B1709" s="11" t="inlineStr">
        <is>
          <t>Mymensingh (GEN-A)</t>
        </is>
      </c>
      <c r="C1709" s="11" t="inlineStr">
        <is>
          <t>Mr. Ziaul Islam</t>
        </is>
      </c>
      <c r="D1709" s="11" t="inlineStr">
        <is>
          <t>Netrokona GEN-A-1</t>
        </is>
      </c>
      <c r="E1709" s="11" t="inlineStr">
        <is>
          <t>Mr. Muhammad Zakir Hossain</t>
        </is>
      </c>
      <c r="F1709" s="10" t="n">
        <v>13054</v>
      </c>
      <c r="G1709" s="11" t="inlineStr">
        <is>
          <t>Netrokona-4</t>
        </is>
      </c>
      <c r="H1709" s="10" t="n">
        <v>5386</v>
      </c>
      <c r="I1709" s="11" t="inlineStr">
        <is>
          <t>Md. Alzabir</t>
        </is>
      </c>
      <c r="J1709" s="10">
        <f>IF(K1709&gt;0, "Completed", "Pending")</f>
        <v/>
      </c>
      <c r="K1709" s="10">
        <f>COUNTIF('Survey Responses'!F:F, F1709)</f>
        <v/>
      </c>
    </row>
    <row r="1710">
      <c r="A1710" s="10" t="n">
        <v>1709</v>
      </c>
      <c r="B1710" s="11" t="inlineStr">
        <is>
          <t>Mymensingh (GEN-A)</t>
        </is>
      </c>
      <c r="C1710" s="11" t="inlineStr">
        <is>
          <t>Mr. Ziaul Islam</t>
        </is>
      </c>
      <c r="D1710" s="11" t="inlineStr">
        <is>
          <t>Netrokona GEN-A-1</t>
        </is>
      </c>
      <c r="E1710" s="11" t="inlineStr">
        <is>
          <t>Mr. Muhammad Zakir Hossain</t>
        </is>
      </c>
      <c r="F1710" s="10" t="n">
        <v>14646</v>
      </c>
      <c r="G1710" s="11" t="inlineStr">
        <is>
          <t>Netrokona-5</t>
        </is>
      </c>
      <c r="H1710" s="10" t="n">
        <v>8306</v>
      </c>
      <c r="I1710" s="11" t="inlineStr">
        <is>
          <t>Mr. Pobetro Kumar Ray</t>
        </is>
      </c>
      <c r="J1710" s="10">
        <f>IF(K1710&gt;0, "Completed", "Pending")</f>
        <v/>
      </c>
      <c r="K1710" s="10">
        <f>COUNTIF('Survey Responses'!F:F, F1710)</f>
        <v/>
      </c>
    </row>
    <row r="1711">
      <c r="A1711" s="10" t="n">
        <v>1710</v>
      </c>
      <c r="B1711" s="11" t="inlineStr">
        <is>
          <t>Narsingdi (GEN-A)</t>
        </is>
      </c>
      <c r="C1711" s="11" t="inlineStr">
        <is>
          <t>Mr. Md. Mazibar Rahman</t>
        </is>
      </c>
      <c r="D1711" s="11" t="inlineStr">
        <is>
          <t>Bajitpur GEN-A-1</t>
        </is>
      </c>
      <c r="E1711" s="11" t="inlineStr">
        <is>
          <t>Mr. Mehedi Hasan Rasel</t>
        </is>
      </c>
      <c r="F1711" s="10" t="n">
        <v>10554</v>
      </c>
      <c r="G1711" s="11" t="inlineStr">
        <is>
          <t>Bajitpur-1</t>
        </is>
      </c>
      <c r="H1711" s="10" t="n">
        <v>2030</v>
      </c>
      <c r="I1711" s="11" t="inlineStr">
        <is>
          <t>Debashis Chandra Sarkar</t>
        </is>
      </c>
      <c r="J1711" s="10">
        <f>IF(K1711&gt;0, "Completed", "Pending")</f>
        <v/>
      </c>
      <c r="K1711" s="10">
        <f>COUNTIF('Survey Responses'!F:F, F1711)</f>
        <v/>
      </c>
    </row>
    <row r="1712">
      <c r="A1712" s="10" t="n">
        <v>1711</v>
      </c>
      <c r="B1712" s="11" t="inlineStr">
        <is>
          <t>Narsingdi (GEN-A)</t>
        </is>
      </c>
      <c r="C1712" s="11" t="inlineStr">
        <is>
          <t>Mr. Md. Mazibar Rahman</t>
        </is>
      </c>
      <c r="D1712" s="11" t="inlineStr">
        <is>
          <t>Bajitpur GEN-A-1</t>
        </is>
      </c>
      <c r="E1712" s="11" t="inlineStr">
        <is>
          <t>Mr. Mehedi Hasan Rasel</t>
        </is>
      </c>
      <c r="F1712" s="10" t="n">
        <v>10555</v>
      </c>
      <c r="G1712" s="11" t="inlineStr">
        <is>
          <t>Bajitpur-2</t>
        </is>
      </c>
      <c r="H1712" s="10" t="n">
        <v>7511</v>
      </c>
      <c r="I1712" s="11" t="inlineStr">
        <is>
          <t>Mr. Md. Sakib Uddin</t>
        </is>
      </c>
      <c r="J1712" s="10">
        <f>IF(K1712&gt;0, "Completed", "Pending")</f>
        <v/>
      </c>
      <c r="K1712" s="10">
        <f>COUNTIF('Survey Responses'!F:F, F1712)</f>
        <v/>
      </c>
    </row>
    <row r="1713">
      <c r="A1713" s="10" t="n">
        <v>1712</v>
      </c>
      <c r="B1713" s="11" t="inlineStr">
        <is>
          <t>Narsingdi (GEN-A)</t>
        </is>
      </c>
      <c r="C1713" s="11" t="inlineStr">
        <is>
          <t>Mr. Md. Mazibar Rahman</t>
        </is>
      </c>
      <c r="D1713" s="11" t="inlineStr">
        <is>
          <t>Bajitpur GEN-A-1</t>
        </is>
      </c>
      <c r="E1713" s="11" t="inlineStr">
        <is>
          <t>Mr. Mehedi Hasan Rasel</t>
        </is>
      </c>
      <c r="F1713" s="10" t="n">
        <v>12215</v>
      </c>
      <c r="G1713" s="11" t="inlineStr">
        <is>
          <t>Bajitpur-3</t>
        </is>
      </c>
      <c r="H1713" s="10" t="n">
        <v>3591</v>
      </c>
      <c r="I1713" s="11" t="inlineStr">
        <is>
          <t>Mr. Rabindra Chandra Das</t>
        </is>
      </c>
      <c r="J1713" s="10">
        <f>IF(K1713&gt;0, "Completed", "Pending")</f>
        <v/>
      </c>
      <c r="K1713" s="10">
        <f>COUNTIF('Survey Responses'!F:F, F1713)</f>
        <v/>
      </c>
    </row>
    <row r="1714">
      <c r="A1714" s="10" t="n">
        <v>1713</v>
      </c>
      <c r="B1714" s="11" t="inlineStr">
        <is>
          <t>Narsingdi (GEN-A)</t>
        </is>
      </c>
      <c r="C1714" s="11" t="inlineStr">
        <is>
          <t>Mr. Md. Mazibar Rahman</t>
        </is>
      </c>
      <c r="D1714" s="11" t="inlineStr">
        <is>
          <t>Bajitpur GEN-A-1</t>
        </is>
      </c>
      <c r="E1714" s="11" t="inlineStr">
        <is>
          <t>Mr. Mehedi Hasan Rasel</t>
        </is>
      </c>
      <c r="F1714" s="10" t="n">
        <v>10565</v>
      </c>
      <c r="G1714" s="11" t="inlineStr">
        <is>
          <t>Kotiadi-1</t>
        </is>
      </c>
      <c r="H1714" s="10" t="n">
        <v>1307</v>
      </c>
      <c r="I1714" s="11" t="inlineStr">
        <is>
          <t>Md. Nazmul Huda</t>
        </is>
      </c>
      <c r="J1714" s="10">
        <f>IF(K1714&gt;0, "Completed", "Pending")</f>
        <v/>
      </c>
      <c r="K1714" s="10">
        <f>COUNTIF('Survey Responses'!F:F, F1714)</f>
        <v/>
      </c>
    </row>
    <row r="1715">
      <c r="A1715" s="10" t="n">
        <v>1714</v>
      </c>
      <c r="B1715" s="11" t="inlineStr">
        <is>
          <t>Narsingdi (GEN-A)</t>
        </is>
      </c>
      <c r="C1715" s="11" t="inlineStr">
        <is>
          <t>Mr. Md. Mazibar Rahman</t>
        </is>
      </c>
      <c r="D1715" s="11" t="inlineStr">
        <is>
          <t>Bajitpur GEN-A-1</t>
        </is>
      </c>
      <c r="E1715" s="11" t="inlineStr">
        <is>
          <t>Mr. Mehedi Hasan Rasel</t>
        </is>
      </c>
      <c r="F1715" s="10" t="n">
        <v>12591</v>
      </c>
      <c r="G1715" s="11" t="inlineStr">
        <is>
          <t>Kotiadi-2</t>
        </is>
      </c>
      <c r="H1715" s="10" t="n">
        <v>4027</v>
      </c>
      <c r="I1715" s="11" t="inlineStr">
        <is>
          <t>Md. Yeanur Islam</t>
        </is>
      </c>
      <c r="J1715" s="10">
        <f>IF(K1715&gt;0, "Completed", "Pending")</f>
        <v/>
      </c>
      <c r="K1715" s="10">
        <f>COUNTIF('Survey Responses'!F:F, F1715)</f>
        <v/>
      </c>
    </row>
    <row r="1716">
      <c r="A1716" s="10" t="n">
        <v>1715</v>
      </c>
      <c r="B1716" s="11" t="inlineStr">
        <is>
          <t>Narsingdi (GEN-A)</t>
        </is>
      </c>
      <c r="C1716" s="11" t="inlineStr">
        <is>
          <t>Mr. Md. Mazibar Rahman</t>
        </is>
      </c>
      <c r="D1716" s="11" t="inlineStr">
        <is>
          <t>Bajitpur GEN-A-1</t>
        </is>
      </c>
      <c r="E1716" s="11" t="inlineStr">
        <is>
          <t>Mr. Mehedi Hasan Rasel</t>
        </is>
      </c>
      <c r="F1716" s="10" t="n">
        <v>10560</v>
      </c>
      <c r="G1716" s="11" t="inlineStr">
        <is>
          <t>Pakundia-1</t>
        </is>
      </c>
      <c r="H1716" s="10" t="n">
        <v>1148</v>
      </c>
      <c r="I1716" s="11" t="inlineStr">
        <is>
          <t>Abdullah-Al-Mamun</t>
        </is>
      </c>
      <c r="J1716" s="10">
        <f>IF(K1716&gt;0, "Completed", "Pending")</f>
        <v/>
      </c>
      <c r="K1716" s="10">
        <f>COUNTIF('Survey Responses'!F:F, F1716)</f>
        <v/>
      </c>
    </row>
    <row r="1717">
      <c r="A1717" s="10" t="n">
        <v>1716</v>
      </c>
      <c r="B1717" s="11" t="inlineStr">
        <is>
          <t>Narsingdi (GEN-A)</t>
        </is>
      </c>
      <c r="C1717" s="11" t="inlineStr">
        <is>
          <t>Mr. Md. Mazibar Rahman</t>
        </is>
      </c>
      <c r="D1717" s="11" t="inlineStr">
        <is>
          <t>Bajitpur GEN-A-1</t>
        </is>
      </c>
      <c r="E1717" s="11" t="inlineStr">
        <is>
          <t>Mr. Mehedi Hasan Rasel</t>
        </is>
      </c>
      <c r="F1717" s="10" t="n">
        <v>14610</v>
      </c>
      <c r="G1717" s="11" t="inlineStr">
        <is>
          <t>Pakundia-2</t>
        </is>
      </c>
      <c r="H1717" s="10" t="n">
        <v>7677</v>
      </c>
      <c r="I1717" s="11" t="inlineStr">
        <is>
          <t>Mr. Md. Moshiur Rahman</t>
        </is>
      </c>
      <c r="J1717" s="10">
        <f>IF(K1717&gt;0, "Completed", "Pending")</f>
        <v/>
      </c>
      <c r="K1717" s="10">
        <f>COUNTIF('Survey Responses'!F:F, F1717)</f>
        <v/>
      </c>
    </row>
    <row r="1718">
      <c r="A1718" s="10" t="n">
        <v>1717</v>
      </c>
      <c r="B1718" s="11" t="inlineStr">
        <is>
          <t>Narsingdi (GEN-A)</t>
        </is>
      </c>
      <c r="C1718" s="11" t="inlineStr">
        <is>
          <t>Mr. Md. Mazibar Rahman</t>
        </is>
      </c>
      <c r="D1718" s="11" t="inlineStr">
        <is>
          <t>Bhairab GEN-A-1</t>
        </is>
      </c>
      <c r="E1718" s="11" t="inlineStr">
        <is>
          <t>Mr. Sayed Kohel-Uz-Zaman</t>
        </is>
      </c>
      <c r="F1718" s="10" t="n">
        <v>10721</v>
      </c>
      <c r="G1718" s="11" t="inlineStr">
        <is>
          <t>Ashuganj-1</t>
        </is>
      </c>
      <c r="H1718" s="10" t="n">
        <v>2895</v>
      </c>
      <c r="I1718" s="11" t="inlineStr">
        <is>
          <t>Md. Umor Faruk</t>
        </is>
      </c>
      <c r="J1718" s="10">
        <f>IF(K1718&gt;0, "Completed", "Pending")</f>
        <v/>
      </c>
      <c r="K1718" s="10">
        <f>COUNTIF('Survey Responses'!F:F, F1718)</f>
        <v/>
      </c>
    </row>
    <row r="1719">
      <c r="A1719" s="10" t="n">
        <v>1718</v>
      </c>
      <c r="B1719" s="11" t="inlineStr">
        <is>
          <t>Narsingdi (GEN-A)</t>
        </is>
      </c>
      <c r="C1719" s="11" t="inlineStr">
        <is>
          <t>Mr. Md. Mazibar Rahman</t>
        </is>
      </c>
      <c r="D1719" s="11" t="inlineStr">
        <is>
          <t>Bhairab GEN-A-1</t>
        </is>
      </c>
      <c r="E1719" s="11" t="inlineStr">
        <is>
          <t>Mr. Sayed Kohel-Uz-Zaman</t>
        </is>
      </c>
      <c r="F1719" s="10" t="n">
        <v>12678</v>
      </c>
      <c r="G1719" s="11" t="inlineStr">
        <is>
          <t>Ashuganj-2</t>
        </is>
      </c>
      <c r="H1719" s="10" t="n">
        <v>735</v>
      </c>
      <c r="I1719" s="11" t="inlineStr">
        <is>
          <t>Md. Zakir Hossain</t>
        </is>
      </c>
      <c r="J1719" s="10">
        <f>IF(K1719&gt;0, "Completed", "Pending")</f>
        <v/>
      </c>
      <c r="K1719" s="10">
        <f>COUNTIF('Survey Responses'!F:F, F1719)</f>
        <v/>
      </c>
    </row>
    <row r="1720">
      <c r="A1720" s="10" t="n">
        <v>1719</v>
      </c>
      <c r="B1720" s="11" t="inlineStr">
        <is>
          <t>Narsingdi (GEN-A)</t>
        </is>
      </c>
      <c r="C1720" s="11" t="inlineStr">
        <is>
          <t>Mr. Md. Mazibar Rahman</t>
        </is>
      </c>
      <c r="D1720" s="11" t="inlineStr">
        <is>
          <t>Bhairab GEN-A-1</t>
        </is>
      </c>
      <c r="E1720" s="11" t="inlineStr">
        <is>
          <t>Mr. Sayed Kohel-Uz-Zaman</t>
        </is>
      </c>
      <c r="F1720" s="10" t="n">
        <v>10553</v>
      </c>
      <c r="G1720" s="11" t="inlineStr">
        <is>
          <t>Bhairob-1</t>
        </is>
      </c>
      <c r="H1720" s="10" t="n">
        <v>6137</v>
      </c>
      <c r="I1720" s="11" t="inlineStr">
        <is>
          <t>Mr. Mahedi Hassan</t>
        </is>
      </c>
      <c r="J1720" s="10">
        <f>IF(K1720&gt;0, "Completed", "Pending")</f>
        <v/>
      </c>
      <c r="K1720" s="10">
        <f>COUNTIF('Survey Responses'!F:F, F1720)</f>
        <v/>
      </c>
    </row>
    <row r="1721">
      <c r="A1721" s="10" t="n">
        <v>1720</v>
      </c>
      <c r="B1721" s="11" t="inlineStr">
        <is>
          <t>Narsingdi (GEN-A)</t>
        </is>
      </c>
      <c r="C1721" s="11" t="inlineStr">
        <is>
          <t>Mr. Md. Mazibar Rahman</t>
        </is>
      </c>
      <c r="D1721" s="11" t="inlineStr">
        <is>
          <t>Bhairab GEN-A-1</t>
        </is>
      </c>
      <c r="E1721" s="11" t="inlineStr">
        <is>
          <t>Mr. Sayed Kohel-Uz-Zaman</t>
        </is>
      </c>
      <c r="F1721" s="10" t="n">
        <v>10552</v>
      </c>
      <c r="G1721" s="11" t="inlineStr">
        <is>
          <t xml:space="preserve">Bhairob-2 </t>
        </is>
      </c>
      <c r="H1721" s="10" t="n">
        <v>1301</v>
      </c>
      <c r="I1721" s="11" t="inlineStr">
        <is>
          <t>Md. Moshiur Rahman</t>
        </is>
      </c>
      <c r="J1721" s="10">
        <f>IF(K1721&gt;0, "Completed", "Pending")</f>
        <v/>
      </c>
      <c r="K1721" s="10">
        <f>COUNTIF('Survey Responses'!F:F, F1721)</f>
        <v/>
      </c>
    </row>
    <row r="1722">
      <c r="A1722" s="10" t="n">
        <v>1721</v>
      </c>
      <c r="B1722" s="11" t="inlineStr">
        <is>
          <t>Narsingdi (GEN-A)</t>
        </is>
      </c>
      <c r="C1722" s="11" t="inlineStr">
        <is>
          <t>Mr. Md. Mazibar Rahman</t>
        </is>
      </c>
      <c r="D1722" s="11" t="inlineStr">
        <is>
          <t>Bhairab GEN-A-1</t>
        </is>
      </c>
      <c r="E1722" s="11" t="inlineStr">
        <is>
          <t>Mr. Sayed Kohel-Uz-Zaman</t>
        </is>
      </c>
      <c r="F1722" s="10" t="n">
        <v>10556</v>
      </c>
      <c r="G1722" s="11" t="inlineStr">
        <is>
          <t>Bhairob-3</t>
        </is>
      </c>
      <c r="H1722" s="10" t="n">
        <v>1953</v>
      </c>
      <c r="I1722" s="11" t="inlineStr">
        <is>
          <t>Md. Ramjan Ali</t>
        </is>
      </c>
      <c r="J1722" s="10">
        <f>IF(K1722&gt;0, "Completed", "Pending")</f>
        <v/>
      </c>
      <c r="K1722" s="10">
        <f>COUNTIF('Survey Responses'!F:F, F1722)</f>
        <v/>
      </c>
    </row>
    <row r="1723">
      <c r="A1723" s="10" t="n">
        <v>1722</v>
      </c>
      <c r="B1723" s="11" t="inlineStr">
        <is>
          <t>Narsingdi (GEN-A)</t>
        </is>
      </c>
      <c r="C1723" s="11" t="inlineStr">
        <is>
          <t>Mr. Md. Mazibar Rahman</t>
        </is>
      </c>
      <c r="D1723" s="11" t="inlineStr">
        <is>
          <t>Bhairab GEN-A-1</t>
        </is>
      </c>
      <c r="E1723" s="11" t="inlineStr">
        <is>
          <t>Mr. Sayed Kohel-Uz-Zaman</t>
        </is>
      </c>
      <c r="F1723" s="10" t="n">
        <v>12668</v>
      </c>
      <c r="G1723" s="11" t="inlineStr">
        <is>
          <t>Bhairob-4</t>
        </is>
      </c>
      <c r="H1723" s="10" t="n">
        <v>4146</v>
      </c>
      <c r="I1723" s="11" t="inlineStr">
        <is>
          <t>Mr. Nasirul Islam</t>
        </is>
      </c>
      <c r="J1723" s="10">
        <f>IF(K1723&gt;0, "Completed", "Pending")</f>
        <v/>
      </c>
      <c r="K1723" s="10">
        <f>COUNTIF('Survey Responses'!F:F, F1723)</f>
        <v/>
      </c>
    </row>
    <row r="1724">
      <c r="A1724" s="10" t="n">
        <v>1723</v>
      </c>
      <c r="B1724" s="11" t="inlineStr">
        <is>
          <t>Narsingdi (GEN-A)</t>
        </is>
      </c>
      <c r="C1724" s="11" t="inlineStr">
        <is>
          <t>Mr. Md. Mazibar Rahman</t>
        </is>
      </c>
      <c r="D1724" s="11" t="inlineStr">
        <is>
          <t>Bhairab GEN-A-1</t>
        </is>
      </c>
      <c r="E1724" s="11" t="inlineStr">
        <is>
          <t>Mr. Sayed Kohel-Uz-Zaman</t>
        </is>
      </c>
      <c r="F1724" s="10" t="n">
        <v>14880</v>
      </c>
      <c r="G1724" s="11" t="inlineStr">
        <is>
          <t>Bhairob-5</t>
        </is>
      </c>
      <c r="H1724" s="10" t="n">
        <v>9004</v>
      </c>
      <c r="I1724" s="11" t="inlineStr">
        <is>
          <t>Mr. Yousuf Ali</t>
        </is>
      </c>
      <c r="J1724" s="10">
        <f>IF(K1724&gt;0, "Completed", "Pending")</f>
        <v/>
      </c>
      <c r="K1724" s="10">
        <f>COUNTIF('Survey Responses'!F:F, F1724)</f>
        <v/>
      </c>
    </row>
    <row r="1725">
      <c r="A1725" s="10" t="n">
        <v>1724</v>
      </c>
      <c r="B1725" s="11" t="inlineStr">
        <is>
          <t>Narsingdi (GEN-A)</t>
        </is>
      </c>
      <c r="C1725" s="11" t="inlineStr">
        <is>
          <t>Mr. Md. Mazibar Rahman</t>
        </is>
      </c>
      <c r="D1725" s="11" t="inlineStr">
        <is>
          <t>Kishoregonj GEN-A-1</t>
        </is>
      </c>
      <c r="E1725" s="11" t="inlineStr">
        <is>
          <t>Mr. Md. Khalilur Rahaman</t>
        </is>
      </c>
      <c r="F1725" s="10" t="n">
        <v>14563</v>
      </c>
      <c r="G1725" s="11" t="inlineStr">
        <is>
          <t>Atharabari-1</t>
        </is>
      </c>
      <c r="H1725" s="10" t="n">
        <v>1889</v>
      </c>
      <c r="I1725" s="11" t="inlineStr">
        <is>
          <t>Md. Manik Hossain</t>
        </is>
      </c>
      <c r="J1725" s="10">
        <f>IF(K1725&gt;0, "Completed", "Pending")</f>
        <v/>
      </c>
      <c r="K1725" s="10">
        <f>COUNTIF('Survey Responses'!F:F, F1725)</f>
        <v/>
      </c>
    </row>
    <row r="1726">
      <c r="A1726" s="10" t="n">
        <v>1725</v>
      </c>
      <c r="B1726" s="11" t="inlineStr">
        <is>
          <t>Narsingdi (GEN-A)</t>
        </is>
      </c>
      <c r="C1726" s="11" t="inlineStr">
        <is>
          <t>Mr. Md. Mazibar Rahman</t>
        </is>
      </c>
      <c r="D1726" s="11" t="inlineStr">
        <is>
          <t>Kishoregonj GEN-A-1</t>
        </is>
      </c>
      <c r="E1726" s="11" t="inlineStr">
        <is>
          <t>Mr. Md. Khalilur Rahaman</t>
        </is>
      </c>
      <c r="F1726" s="10" t="n">
        <v>10557</v>
      </c>
      <c r="G1726" s="11" t="inlineStr">
        <is>
          <t>Kishoregonj-1</t>
        </is>
      </c>
      <c r="H1726" s="10" t="n">
        <v>7578</v>
      </c>
      <c r="I1726" s="11" t="inlineStr">
        <is>
          <t>Mr. Md. Ajim Ali</t>
        </is>
      </c>
      <c r="J1726" s="10">
        <f>IF(K1726&gt;0, "Completed", "Pending")</f>
        <v/>
      </c>
      <c r="K1726" s="10">
        <f>COUNTIF('Survey Responses'!F:F, F1726)</f>
        <v/>
      </c>
    </row>
    <row r="1727">
      <c r="A1727" s="10" t="n">
        <v>1726</v>
      </c>
      <c r="B1727" s="11" t="inlineStr">
        <is>
          <t>Narsingdi (GEN-A)</t>
        </is>
      </c>
      <c r="C1727" s="11" t="inlineStr">
        <is>
          <t>Mr. Md. Mazibar Rahman</t>
        </is>
      </c>
      <c r="D1727" s="11" t="inlineStr">
        <is>
          <t>Kishoregonj GEN-A-1</t>
        </is>
      </c>
      <c r="E1727" s="11" t="inlineStr">
        <is>
          <t>Mr. Md. Khalilur Rahaman</t>
        </is>
      </c>
      <c r="F1727" s="10" t="n">
        <v>10561</v>
      </c>
      <c r="G1727" s="11" t="inlineStr">
        <is>
          <t>Kishoregonj-4</t>
        </is>
      </c>
      <c r="H1727" s="10" t="n">
        <v>1296</v>
      </c>
      <c r="I1727" s="11" t="inlineStr">
        <is>
          <t>Mohammad Bayzid Bustami</t>
        </is>
      </c>
      <c r="J1727" s="10">
        <f>IF(K1727&gt;0, "Completed", "Pending")</f>
        <v/>
      </c>
      <c r="K1727" s="10">
        <f>COUNTIF('Survey Responses'!F:F, F1727)</f>
        <v/>
      </c>
    </row>
    <row r="1728">
      <c r="A1728" s="10" t="n">
        <v>1727</v>
      </c>
      <c r="B1728" s="11" t="inlineStr">
        <is>
          <t>Narsingdi (GEN-A)</t>
        </is>
      </c>
      <c r="C1728" s="11" t="inlineStr">
        <is>
          <t>Mr. Md. Mazibar Rahman</t>
        </is>
      </c>
      <c r="D1728" s="11" t="inlineStr">
        <is>
          <t>Kishoregonj GEN-A-1</t>
        </is>
      </c>
      <c r="E1728" s="11" t="inlineStr">
        <is>
          <t>Mr. Md. Khalilur Rahaman</t>
        </is>
      </c>
      <c r="F1728" s="10" t="n">
        <v>12277</v>
      </c>
      <c r="G1728" s="11" t="inlineStr">
        <is>
          <t>Kishoregonj-6</t>
        </is>
      </c>
      <c r="H1728" s="10" t="n">
        <v>3656</v>
      </c>
      <c r="I1728" s="11" t="inlineStr">
        <is>
          <t>Mr. Md. Safiqul Islam</t>
        </is>
      </c>
      <c r="J1728" s="10">
        <f>IF(K1728&gt;0, "Completed", "Pending")</f>
        <v/>
      </c>
      <c r="K1728" s="10">
        <f>COUNTIF('Survey Responses'!F:F, F1728)</f>
        <v/>
      </c>
    </row>
    <row r="1729">
      <c r="A1729" s="10" t="n">
        <v>1728</v>
      </c>
      <c r="B1729" s="11" t="inlineStr">
        <is>
          <t>Narsingdi (GEN-A)</t>
        </is>
      </c>
      <c r="C1729" s="11" t="inlineStr">
        <is>
          <t>Mr. Md. Mazibar Rahman</t>
        </is>
      </c>
      <c r="D1729" s="11" t="inlineStr">
        <is>
          <t>Kishoregonj GEN-A-1</t>
        </is>
      </c>
      <c r="E1729" s="11" t="inlineStr">
        <is>
          <t>Mr. Md. Khalilur Rahaman</t>
        </is>
      </c>
      <c r="F1729" s="10" t="n">
        <v>14609</v>
      </c>
      <c r="G1729" s="11" t="inlineStr">
        <is>
          <t>Kishoregonj-8</t>
        </is>
      </c>
      <c r="H1729" s="10" t="n">
        <v>7693</v>
      </c>
      <c r="I1729" s="11" t="inlineStr">
        <is>
          <t>Mr. Md. Manik Islam</t>
        </is>
      </c>
      <c r="J1729" s="10">
        <f>IF(K1729&gt;0, "Completed", "Pending")</f>
        <v/>
      </c>
      <c r="K1729" s="10">
        <f>COUNTIF('Survey Responses'!F:F, F1729)</f>
        <v/>
      </c>
    </row>
    <row r="1730">
      <c r="A1730" s="10" t="n">
        <v>1729</v>
      </c>
      <c r="B1730" s="11" t="inlineStr">
        <is>
          <t>Narsingdi (GEN-A)</t>
        </is>
      </c>
      <c r="C1730" s="11" t="inlineStr">
        <is>
          <t>Mr. Md. Mazibar Rahman</t>
        </is>
      </c>
      <c r="D1730" s="11" t="inlineStr">
        <is>
          <t>Kishoregonj GEN-A-1</t>
        </is>
      </c>
      <c r="E1730" s="11" t="inlineStr">
        <is>
          <t>Mr. Md. Khalilur Rahaman</t>
        </is>
      </c>
      <c r="F1730" s="10" t="n">
        <v>10558</v>
      </c>
      <c r="G1730" s="11" t="inlineStr">
        <is>
          <t>Nandail-1</t>
        </is>
      </c>
      <c r="H1730" s="10" t="n">
        <v>4147</v>
      </c>
      <c r="I1730" s="11" t="inlineStr">
        <is>
          <t>Mr. Md. Raisul Islam</t>
        </is>
      </c>
      <c r="J1730" s="10">
        <f>IF(K1730&gt;0, "Completed", "Pending")</f>
        <v/>
      </c>
      <c r="K1730" s="10">
        <f>COUNTIF('Survey Responses'!F:F, F1730)</f>
        <v/>
      </c>
    </row>
    <row r="1731">
      <c r="A1731" s="10" t="n">
        <v>1730</v>
      </c>
      <c r="B1731" s="11" t="inlineStr">
        <is>
          <t>Narsingdi (GEN-A)</t>
        </is>
      </c>
      <c r="C1731" s="11" t="inlineStr">
        <is>
          <t>Mr. Md. Mazibar Rahman</t>
        </is>
      </c>
      <c r="D1731" s="11" t="inlineStr">
        <is>
          <t>Kishoregonj GEN-A-1</t>
        </is>
      </c>
      <c r="E1731" s="11" t="inlineStr">
        <is>
          <t>Mr. Md. Khalilur Rahaman</t>
        </is>
      </c>
      <c r="F1731" s="10" t="n">
        <v>10562</v>
      </c>
      <c r="G1731" s="11" t="inlineStr">
        <is>
          <t>Nandail-2</t>
        </is>
      </c>
      <c r="H1731" s="10" t="n">
        <v>1880</v>
      </c>
      <c r="I1731" s="11" t="inlineStr">
        <is>
          <t>Md. Maidul Islam</t>
        </is>
      </c>
      <c r="J1731" s="10">
        <f>IF(K1731&gt;0, "Completed", "Pending")</f>
        <v/>
      </c>
      <c r="K1731" s="10">
        <f>COUNTIF('Survey Responses'!F:F, F1731)</f>
        <v/>
      </c>
    </row>
    <row r="1732">
      <c r="A1732" s="10" t="n">
        <v>1731</v>
      </c>
      <c r="B1732" s="11" t="inlineStr">
        <is>
          <t>Narsingdi (GEN-A)</t>
        </is>
      </c>
      <c r="C1732" s="11" t="inlineStr">
        <is>
          <t>Mr. Md. Mazibar Rahman</t>
        </is>
      </c>
      <c r="D1732" s="11" t="inlineStr">
        <is>
          <t>Kishoregonj GEN-A-1</t>
        </is>
      </c>
      <c r="E1732" s="11" t="inlineStr">
        <is>
          <t>Mr. Md. Khalilur Rahaman</t>
        </is>
      </c>
      <c r="F1732" s="10" t="n">
        <v>12669</v>
      </c>
      <c r="G1732" s="11" t="inlineStr">
        <is>
          <t>Nandail-3</t>
        </is>
      </c>
      <c r="H1732" s="10" t="n">
        <v>8315</v>
      </c>
      <c r="I1732" s="11" t="inlineStr">
        <is>
          <t>Mr. RD Rubel Rana</t>
        </is>
      </c>
      <c r="J1732" s="10">
        <f>IF(K1732&gt;0, "Completed", "Pending")</f>
        <v/>
      </c>
      <c r="K1732" s="10">
        <f>COUNTIF('Survey Responses'!F:F, F1732)</f>
        <v/>
      </c>
    </row>
    <row r="1733">
      <c r="A1733" s="10" t="n">
        <v>1732</v>
      </c>
      <c r="B1733" s="11" t="inlineStr">
        <is>
          <t>Narsingdi (GEN-A)</t>
        </is>
      </c>
      <c r="C1733" s="11" t="inlineStr">
        <is>
          <t>Mr. Md. Mazibar Rahman</t>
        </is>
      </c>
      <c r="D1733" s="11" t="inlineStr">
        <is>
          <t>Kishoregonj GEN-A-2</t>
        </is>
      </c>
      <c r="E1733" s="11" t="inlineStr">
        <is>
          <t>Mr. Syed Rasel</t>
        </is>
      </c>
      <c r="F1733" s="10" t="n">
        <v>13034</v>
      </c>
      <c r="G1733" s="11" t="inlineStr">
        <is>
          <t>Hossainpur-1</t>
        </is>
      </c>
      <c r="H1733" s="10" t="n">
        <v>986</v>
      </c>
      <c r="I1733" s="11" t="inlineStr">
        <is>
          <t>Md. Sadaqur Rahman</t>
        </is>
      </c>
      <c r="J1733" s="10">
        <f>IF(K1733&gt;0, "Completed", "Pending")</f>
        <v/>
      </c>
      <c r="K1733" s="10">
        <f>COUNTIF('Survey Responses'!F:F, F1733)</f>
        <v/>
      </c>
    </row>
    <row r="1734">
      <c r="A1734" s="10" t="n">
        <v>1733</v>
      </c>
      <c r="B1734" s="11" t="inlineStr">
        <is>
          <t>Narsingdi (GEN-A)</t>
        </is>
      </c>
      <c r="C1734" s="11" t="inlineStr">
        <is>
          <t>Mr. Md. Mazibar Rahman</t>
        </is>
      </c>
      <c r="D1734" s="11" t="inlineStr">
        <is>
          <t>Kishoregonj GEN-A-2</t>
        </is>
      </c>
      <c r="E1734" s="11" t="inlineStr">
        <is>
          <t>Mr. Syed Rasel</t>
        </is>
      </c>
      <c r="F1734" s="10" t="n">
        <v>10559</v>
      </c>
      <c r="G1734" s="11" t="inlineStr">
        <is>
          <t>Karimgonj</t>
        </is>
      </c>
      <c r="H1734" s="10" t="n">
        <v>1919</v>
      </c>
      <c r="I1734" s="11" t="inlineStr">
        <is>
          <t>Pulok Kumar Sarkar</t>
        </is>
      </c>
      <c r="J1734" s="10">
        <f>IF(K1734&gt;0, "Completed", "Pending")</f>
        <v/>
      </c>
      <c r="K1734" s="10">
        <f>COUNTIF('Survey Responses'!F:F, F1734)</f>
        <v/>
      </c>
    </row>
    <row r="1735">
      <c r="A1735" s="10" t="n">
        <v>1734</v>
      </c>
      <c r="B1735" s="11" t="inlineStr">
        <is>
          <t>Narsingdi (GEN-A)</t>
        </is>
      </c>
      <c r="C1735" s="11" t="inlineStr">
        <is>
          <t>Mr. Md. Mazibar Rahman</t>
        </is>
      </c>
      <c r="D1735" s="11" t="inlineStr">
        <is>
          <t>Kishoregonj GEN-A-2</t>
        </is>
      </c>
      <c r="E1735" s="11" t="inlineStr">
        <is>
          <t>Mr. Syed Rasel</t>
        </is>
      </c>
      <c r="F1735" s="10" t="n">
        <v>10566</v>
      </c>
      <c r="G1735" s="11" t="inlineStr">
        <is>
          <t>Kishoregonj-2</t>
        </is>
      </c>
      <c r="H1735" s="10" t="n">
        <v>7237</v>
      </c>
      <c r="I1735" s="11" t="inlineStr">
        <is>
          <t>Mr. Moni Deb Kumar</t>
        </is>
      </c>
      <c r="J1735" s="10">
        <f>IF(K1735&gt;0, "Completed", "Pending")</f>
        <v/>
      </c>
      <c r="K1735" s="10">
        <f>COUNTIF('Survey Responses'!F:F, F1735)</f>
        <v/>
      </c>
    </row>
    <row r="1736">
      <c r="A1736" s="10" t="n">
        <v>1735</v>
      </c>
      <c r="B1736" s="11" t="inlineStr">
        <is>
          <t>Narsingdi (GEN-A)</t>
        </is>
      </c>
      <c r="C1736" s="11" t="inlineStr">
        <is>
          <t>Mr. Md. Mazibar Rahman</t>
        </is>
      </c>
      <c r="D1736" s="11" t="inlineStr">
        <is>
          <t>Kishoregonj GEN-A-2</t>
        </is>
      </c>
      <c r="E1736" s="11" t="inlineStr">
        <is>
          <t>Mr. Syed Rasel</t>
        </is>
      </c>
      <c r="F1736" s="10" t="n">
        <v>10564</v>
      </c>
      <c r="G1736" s="11" t="inlineStr">
        <is>
          <t>Kishoregonj-3</t>
        </is>
      </c>
      <c r="H1736" s="10" t="n">
        <v>5327</v>
      </c>
      <c r="I1736" s="11" t="inlineStr">
        <is>
          <t>Mr. Md. Sadakul Islam</t>
        </is>
      </c>
      <c r="J1736" s="10">
        <f>IF(K1736&gt;0, "Completed", "Pending")</f>
        <v/>
      </c>
      <c r="K1736" s="10">
        <f>COUNTIF('Survey Responses'!F:F, F1736)</f>
        <v/>
      </c>
    </row>
    <row r="1737">
      <c r="A1737" s="10" t="n">
        <v>1736</v>
      </c>
      <c r="B1737" s="11" t="inlineStr">
        <is>
          <t>Narsingdi (GEN-A)</t>
        </is>
      </c>
      <c r="C1737" s="11" t="inlineStr">
        <is>
          <t>Mr. Md. Mazibar Rahman</t>
        </is>
      </c>
      <c r="D1737" s="11" t="inlineStr">
        <is>
          <t>Kishoregonj GEN-A-2</t>
        </is>
      </c>
      <c r="E1737" s="11" t="inlineStr">
        <is>
          <t>Mr. Syed Rasel</t>
        </is>
      </c>
      <c r="F1737" s="10" t="n">
        <v>10568</v>
      </c>
      <c r="G1737" s="11" t="inlineStr">
        <is>
          <t>Kishoregonj-5</t>
        </is>
      </c>
      <c r="H1737" s="10" t="n">
        <v>1346</v>
      </c>
      <c r="I1737" s="11" t="inlineStr">
        <is>
          <t>Md. Lutfor Rahman</t>
        </is>
      </c>
      <c r="J1737" s="10">
        <f>IF(K1737&gt;0, "Completed", "Pending")</f>
        <v/>
      </c>
      <c r="K1737" s="10">
        <f>COUNTIF('Survey Responses'!F:F, F1737)</f>
        <v/>
      </c>
    </row>
    <row r="1738">
      <c r="A1738" s="10" t="n">
        <v>1737</v>
      </c>
      <c r="B1738" s="11" t="inlineStr">
        <is>
          <t>Narsingdi (GEN-A)</t>
        </is>
      </c>
      <c r="C1738" s="11" t="inlineStr">
        <is>
          <t>Mr. Md. Mazibar Rahman</t>
        </is>
      </c>
      <c r="D1738" s="11" t="inlineStr">
        <is>
          <t>Kishoregonj GEN-A-2</t>
        </is>
      </c>
      <c r="E1738" s="11" t="inlineStr">
        <is>
          <t>Mr. Syed Rasel</t>
        </is>
      </c>
      <c r="F1738" s="10" t="n">
        <v>13253</v>
      </c>
      <c r="G1738" s="11" t="inlineStr">
        <is>
          <t>Kishoregonj-7</t>
        </is>
      </c>
      <c r="H1738" s="10" t="n">
        <v>2602</v>
      </c>
      <c r="I1738" s="11" t="inlineStr">
        <is>
          <t>Md. Mizanur Rahman</t>
        </is>
      </c>
      <c r="J1738" s="10">
        <f>IF(K1738&gt;0, "Completed", "Pending")</f>
        <v/>
      </c>
      <c r="K1738" s="10">
        <f>COUNTIF('Survey Responses'!F:F, F1738)</f>
        <v/>
      </c>
    </row>
    <row r="1739">
      <c r="A1739" s="10" t="n">
        <v>1738</v>
      </c>
      <c r="B1739" s="11" t="inlineStr">
        <is>
          <t>Narsingdi (GEN-A)</t>
        </is>
      </c>
      <c r="C1739" s="11" t="inlineStr">
        <is>
          <t>Mr. Md. Mazibar Rahman</t>
        </is>
      </c>
      <c r="D1739" s="11" t="inlineStr">
        <is>
          <t>Kishoregonj GEN-A-2</t>
        </is>
      </c>
      <c r="E1739" s="11" t="inlineStr">
        <is>
          <t>Mr. Syed Rasel</t>
        </is>
      </c>
      <c r="F1739" s="10" t="n">
        <v>12216</v>
      </c>
      <c r="G1739" s="11" t="inlineStr">
        <is>
          <t>Tarail-1</t>
        </is>
      </c>
      <c r="H1739" s="10" t="n">
        <v>7039</v>
      </c>
      <c r="I1739" s="11" t="inlineStr">
        <is>
          <t>Mr. Naimur Rahman</t>
        </is>
      </c>
      <c r="J1739" s="10">
        <f>IF(K1739&gt;0, "Completed", "Pending")</f>
        <v/>
      </c>
      <c r="K1739" s="10">
        <f>COUNTIF('Survey Responses'!F:F, F1739)</f>
        <v/>
      </c>
    </row>
    <row r="1740">
      <c r="A1740" s="10" t="n">
        <v>1739</v>
      </c>
      <c r="B1740" s="11" t="inlineStr">
        <is>
          <t>Narsingdi (GEN-A)</t>
        </is>
      </c>
      <c r="C1740" s="11" t="inlineStr">
        <is>
          <t>Mr. Md. Mazibar Rahman</t>
        </is>
      </c>
      <c r="D1740" s="11" t="inlineStr">
        <is>
          <t>Madhobdi GEN-A-1</t>
        </is>
      </c>
      <c r="E1740" s="11" t="inlineStr">
        <is>
          <t>Md. Mamun-Or-Rashid</t>
        </is>
      </c>
      <c r="F1740" s="10" t="n">
        <v>10546</v>
      </c>
      <c r="G1740" s="11" t="inlineStr">
        <is>
          <t>Ghorashal</t>
        </is>
      </c>
      <c r="H1740" s="10" t="n">
        <v>1618</v>
      </c>
      <c r="I1740" s="11" t="inlineStr">
        <is>
          <t>Md. Masud Rana</t>
        </is>
      </c>
      <c r="J1740" s="10">
        <f>IF(K1740&gt;0, "Completed", "Pending")</f>
        <v/>
      </c>
      <c r="K1740" s="10">
        <f>COUNTIF('Survey Responses'!F:F, F1740)</f>
        <v/>
      </c>
    </row>
    <row r="1741">
      <c r="A1741" s="10" t="n">
        <v>1740</v>
      </c>
      <c r="B1741" s="11" t="inlineStr">
        <is>
          <t>Narsingdi (GEN-A)</t>
        </is>
      </c>
      <c r="C1741" s="11" t="inlineStr">
        <is>
          <t>Mr. Md. Mazibar Rahman</t>
        </is>
      </c>
      <c r="D1741" s="11" t="inlineStr">
        <is>
          <t>Madhobdi GEN-A-1</t>
        </is>
      </c>
      <c r="E1741" s="11" t="inlineStr">
        <is>
          <t>Md. Mamun-Or-Rashid</t>
        </is>
      </c>
      <c r="F1741" s="10" t="n">
        <v>13132</v>
      </c>
      <c r="G1741" s="11" t="inlineStr">
        <is>
          <t>Ghorashal-2</t>
        </is>
      </c>
      <c r="H1741" s="10" t="n">
        <v>1865</v>
      </c>
      <c r="I1741" s="11" t="inlineStr">
        <is>
          <t>Md. Motiur Rahman</t>
        </is>
      </c>
      <c r="J1741" s="10">
        <f>IF(K1741&gt;0, "Completed", "Pending")</f>
        <v/>
      </c>
      <c r="K1741" s="10">
        <f>COUNTIF('Survey Responses'!F:F, F1741)</f>
        <v/>
      </c>
    </row>
    <row r="1742">
      <c r="A1742" s="10" t="n">
        <v>1741</v>
      </c>
      <c r="B1742" s="11" t="inlineStr">
        <is>
          <t>Narsingdi (GEN-A)</t>
        </is>
      </c>
      <c r="C1742" s="11" t="inlineStr">
        <is>
          <t>Mr. Md. Mazibar Rahman</t>
        </is>
      </c>
      <c r="D1742" s="11" t="inlineStr">
        <is>
          <t>Madhobdi GEN-A-1</t>
        </is>
      </c>
      <c r="E1742" s="11" t="inlineStr">
        <is>
          <t>Md. Mamun-Or-Rashid</t>
        </is>
      </c>
      <c r="F1742" s="10" t="n">
        <v>10573</v>
      </c>
      <c r="G1742" s="11" t="inlineStr">
        <is>
          <t>Madhobdi-1</t>
        </is>
      </c>
      <c r="H1742" s="10" t="n">
        <v>2836</v>
      </c>
      <c r="I1742" s="11" t="inlineStr">
        <is>
          <t>Mantu Kumer Mohanto</t>
        </is>
      </c>
      <c r="J1742" s="10">
        <f>IF(K1742&gt;0, "Completed", "Pending")</f>
        <v/>
      </c>
      <c r="K1742" s="10">
        <f>COUNTIF('Survey Responses'!F:F, F1742)</f>
        <v/>
      </c>
    </row>
    <row r="1743">
      <c r="A1743" s="10" t="n">
        <v>1742</v>
      </c>
      <c r="B1743" s="11" t="inlineStr">
        <is>
          <t>Narsingdi (GEN-A)</t>
        </is>
      </c>
      <c r="C1743" s="11" t="inlineStr">
        <is>
          <t>Mr. Md. Mazibar Rahman</t>
        </is>
      </c>
      <c r="D1743" s="11" t="inlineStr">
        <is>
          <t>Madhobdi GEN-A-1</t>
        </is>
      </c>
      <c r="E1743" s="11" t="inlineStr">
        <is>
          <t>Md. Mamun-Or-Rashid</t>
        </is>
      </c>
      <c r="F1743" s="10" t="n">
        <v>10574</v>
      </c>
      <c r="G1743" s="11" t="inlineStr">
        <is>
          <t>Madhobdi-2</t>
        </is>
      </c>
      <c r="H1743" s="10" t="n">
        <v>5300</v>
      </c>
      <c r="I1743" s="11" t="inlineStr">
        <is>
          <t>Mr. Md. Muniruzzaman</t>
        </is>
      </c>
      <c r="J1743" s="10">
        <f>IF(K1743&gt;0, "Completed", "Pending")</f>
        <v/>
      </c>
      <c r="K1743" s="10">
        <f>COUNTIF('Survey Responses'!F:F, F1743)</f>
        <v/>
      </c>
    </row>
    <row r="1744">
      <c r="A1744" s="10" t="n">
        <v>1743</v>
      </c>
      <c r="B1744" s="11" t="inlineStr">
        <is>
          <t>Narsingdi (GEN-A)</t>
        </is>
      </c>
      <c r="C1744" s="11" t="inlineStr">
        <is>
          <t>Mr. Md. Mazibar Rahman</t>
        </is>
      </c>
      <c r="D1744" s="11" t="inlineStr">
        <is>
          <t>Madhobdi GEN-A-1</t>
        </is>
      </c>
      <c r="E1744" s="11" t="inlineStr">
        <is>
          <t>Md. Mamun-Or-Rashid</t>
        </is>
      </c>
      <c r="F1744" s="10" t="n">
        <v>10575</v>
      </c>
      <c r="G1744" s="11" t="inlineStr">
        <is>
          <t>Madhobdi-3</t>
        </is>
      </c>
      <c r="H1744" s="10" t="n">
        <v>5031</v>
      </c>
      <c r="I1744" s="11" t="inlineStr">
        <is>
          <t>Mr. Md. Rubel Hossain</t>
        </is>
      </c>
      <c r="J1744" s="10">
        <f>IF(K1744&gt;0, "Completed", "Pending")</f>
        <v/>
      </c>
      <c r="K1744" s="10">
        <f>COUNTIF('Survey Responses'!F:F, F1744)</f>
        <v/>
      </c>
    </row>
    <row r="1745">
      <c r="A1745" s="10" t="n">
        <v>1744</v>
      </c>
      <c r="B1745" s="11" t="inlineStr">
        <is>
          <t>Narsingdi (GEN-A)</t>
        </is>
      </c>
      <c r="C1745" s="11" t="inlineStr">
        <is>
          <t>Mr. Md. Mazibar Rahman</t>
        </is>
      </c>
      <c r="D1745" s="11" t="inlineStr">
        <is>
          <t>Madhobdi GEN-A-1</t>
        </is>
      </c>
      <c r="E1745" s="11" t="inlineStr">
        <is>
          <t>Md. Mamun-Or-Rashid</t>
        </is>
      </c>
      <c r="F1745" s="10" t="n">
        <v>13252</v>
      </c>
      <c r="G1745" s="11" t="inlineStr">
        <is>
          <t>Madhobdi-4</t>
        </is>
      </c>
      <c r="H1745" s="10" t="n">
        <v>6419</v>
      </c>
      <c r="I1745" s="11" t="inlineStr">
        <is>
          <t>Mr. Molen Chandra Roy</t>
        </is>
      </c>
      <c r="J1745" s="10">
        <f>IF(K1745&gt;0, "Completed", "Pending")</f>
        <v/>
      </c>
      <c r="K1745" s="10">
        <f>COUNTIF('Survey Responses'!F:F, F1745)</f>
        <v/>
      </c>
    </row>
    <row r="1746">
      <c r="A1746" s="10" t="n">
        <v>1745</v>
      </c>
      <c r="B1746" s="11" t="inlineStr">
        <is>
          <t>Narsingdi (GEN-A)</t>
        </is>
      </c>
      <c r="C1746" s="11" t="inlineStr">
        <is>
          <t>Mr. Md. Mazibar Rahman</t>
        </is>
      </c>
      <c r="D1746" s="11" t="inlineStr">
        <is>
          <t>Madhobdi GEN-A-1</t>
        </is>
      </c>
      <c r="E1746" s="11" t="inlineStr">
        <is>
          <t>Md. Mamun-Or-Rashid</t>
        </is>
      </c>
      <c r="F1746" s="10" t="n">
        <v>14894</v>
      </c>
      <c r="G1746" s="11" t="inlineStr">
        <is>
          <t>Madhobdi-5</t>
        </is>
      </c>
      <c r="H1746" s="10" t="n">
        <v>9070</v>
      </c>
      <c r="I1746" s="11" t="inlineStr">
        <is>
          <t>Md. Mahamud Mottakim Mondol</t>
        </is>
      </c>
      <c r="J1746" s="10">
        <f>IF(K1746&gt;0, "Completed", "Pending")</f>
        <v/>
      </c>
      <c r="K1746" s="10">
        <f>COUNTIF('Survey Responses'!F:F, F1746)</f>
        <v/>
      </c>
    </row>
    <row r="1747">
      <c r="A1747" s="10" t="n">
        <v>1746</v>
      </c>
      <c r="B1747" s="11" t="inlineStr">
        <is>
          <t>Narsingdi (GEN-A)</t>
        </is>
      </c>
      <c r="C1747" s="11" t="inlineStr">
        <is>
          <t>Mr. Md. Mazibar Rahman</t>
        </is>
      </c>
      <c r="D1747" s="11" t="inlineStr">
        <is>
          <t>Monohordi GEN-A-1</t>
        </is>
      </c>
      <c r="E1747" s="11" t="inlineStr">
        <is>
          <t>Md. Emdadul Haq</t>
        </is>
      </c>
      <c r="F1747" s="10" t="n">
        <v>10563</v>
      </c>
      <c r="G1747" s="11" t="inlineStr">
        <is>
          <t>Monohordi-1</t>
        </is>
      </c>
      <c r="H1747" s="10" t="n">
        <v>5987</v>
      </c>
      <c r="I1747" s="11" t="inlineStr">
        <is>
          <t>Mr.  Md. Hasan Ali</t>
        </is>
      </c>
      <c r="J1747" s="10">
        <f>IF(K1747&gt;0, "Completed", "Pending")</f>
        <v/>
      </c>
      <c r="K1747" s="10">
        <f>COUNTIF('Survey Responses'!F:F, F1747)</f>
        <v/>
      </c>
    </row>
    <row r="1748">
      <c r="A1748" s="10" t="n">
        <v>1747</v>
      </c>
      <c r="B1748" s="11" t="inlineStr">
        <is>
          <t>Narsingdi (GEN-A)</t>
        </is>
      </c>
      <c r="C1748" s="11" t="inlineStr">
        <is>
          <t>Mr. Md. Mazibar Rahman</t>
        </is>
      </c>
      <c r="D1748" s="11" t="inlineStr">
        <is>
          <t>Monohordi GEN-A-1</t>
        </is>
      </c>
      <c r="E1748" s="11" t="inlineStr">
        <is>
          <t>Md. Emdadul Haq</t>
        </is>
      </c>
      <c r="F1748" s="10" t="n">
        <v>10567</v>
      </c>
      <c r="G1748" s="11" t="inlineStr">
        <is>
          <t>Monohordi-2</t>
        </is>
      </c>
      <c r="H1748" s="10" t="n">
        <v>3941</v>
      </c>
      <c r="I1748" s="11" t="inlineStr">
        <is>
          <t>Mr. Alamgir Hossain</t>
        </is>
      </c>
      <c r="J1748" s="10">
        <f>IF(K1748&gt;0, "Completed", "Pending")</f>
        <v/>
      </c>
      <c r="K1748" s="10">
        <f>COUNTIF('Survey Responses'!F:F, F1748)</f>
        <v/>
      </c>
    </row>
    <row r="1749">
      <c r="A1749" s="10" t="n">
        <v>1748</v>
      </c>
      <c r="B1749" s="11" t="inlineStr">
        <is>
          <t>Narsingdi (GEN-A)</t>
        </is>
      </c>
      <c r="C1749" s="11" t="inlineStr">
        <is>
          <t>Mr. Md. Mazibar Rahman</t>
        </is>
      </c>
      <c r="D1749" s="11" t="inlineStr">
        <is>
          <t>Monohordi GEN-A-1</t>
        </is>
      </c>
      <c r="E1749" s="11" t="inlineStr">
        <is>
          <t>Md. Emdadul Haq</t>
        </is>
      </c>
      <c r="F1749" s="10" t="n">
        <v>13106</v>
      </c>
      <c r="G1749" s="11" t="inlineStr">
        <is>
          <t>Monohordi-3</t>
        </is>
      </c>
      <c r="H1749" s="10" t="n">
        <v>7063</v>
      </c>
      <c r="I1749" s="11" t="inlineStr">
        <is>
          <t>Mr. Anindra Kumar Sarker</t>
        </is>
      </c>
      <c r="J1749" s="10">
        <f>IF(K1749&gt;0, "Completed", "Pending")</f>
        <v/>
      </c>
      <c r="K1749" s="10">
        <f>COUNTIF('Survey Responses'!F:F, F1749)</f>
        <v/>
      </c>
    </row>
    <row r="1750">
      <c r="A1750" s="10" t="n">
        <v>1749</v>
      </c>
      <c r="B1750" s="11" t="inlineStr">
        <is>
          <t>Narsingdi (GEN-A)</t>
        </is>
      </c>
      <c r="C1750" s="11" t="inlineStr">
        <is>
          <t>Mr. Md. Mazibar Rahman</t>
        </is>
      </c>
      <c r="D1750" s="11" t="inlineStr">
        <is>
          <t>Monohordi GEN-A-1</t>
        </is>
      </c>
      <c r="E1750" s="11" t="inlineStr">
        <is>
          <t>Md. Emdadul Haq</t>
        </is>
      </c>
      <c r="F1750" s="10" t="n">
        <v>10545</v>
      </c>
      <c r="G1750" s="11" t="inlineStr">
        <is>
          <t>Palash-1</t>
        </is>
      </c>
      <c r="H1750" s="10" t="n">
        <v>3075</v>
      </c>
      <c r="I1750" s="11" t="inlineStr">
        <is>
          <t>Md. Sakhawat Hossain</t>
        </is>
      </c>
      <c r="J1750" s="10">
        <f>IF(K1750&gt;0, "Completed", "Pending")</f>
        <v/>
      </c>
      <c r="K1750" s="10">
        <f>COUNTIF('Survey Responses'!F:F, F1750)</f>
        <v/>
      </c>
    </row>
    <row r="1751">
      <c r="A1751" s="10" t="n">
        <v>1750</v>
      </c>
      <c r="B1751" s="11" t="inlineStr">
        <is>
          <t>Narsingdi (GEN-A)</t>
        </is>
      </c>
      <c r="C1751" s="11" t="inlineStr">
        <is>
          <t>Mr. Md. Mazibar Rahman</t>
        </is>
      </c>
      <c r="D1751" s="11" t="inlineStr">
        <is>
          <t>Monohordi GEN-A-1</t>
        </is>
      </c>
      <c r="E1751" s="11" t="inlineStr">
        <is>
          <t>Md. Emdadul Haq</t>
        </is>
      </c>
      <c r="F1751" s="10" t="n">
        <v>12670</v>
      </c>
      <c r="G1751" s="11" t="inlineStr">
        <is>
          <t>Palash-2</t>
        </is>
      </c>
      <c r="H1751" s="10" t="n">
        <v>4148</v>
      </c>
      <c r="I1751" s="11" t="inlineStr">
        <is>
          <t>Mr. Md. Mizanur Rahman Mondal</t>
        </is>
      </c>
      <c r="J1751" s="10">
        <f>IF(K1751&gt;0, "Completed", "Pending")</f>
        <v/>
      </c>
      <c r="K1751" s="10">
        <f>COUNTIF('Survey Responses'!F:F, F1751)</f>
        <v/>
      </c>
    </row>
    <row r="1752">
      <c r="A1752" s="10" t="n">
        <v>1751</v>
      </c>
      <c r="B1752" s="11" t="inlineStr">
        <is>
          <t>Narsingdi (GEN-A)</t>
        </is>
      </c>
      <c r="C1752" s="11" t="inlineStr">
        <is>
          <t>Mr. Md. Mazibar Rahman</t>
        </is>
      </c>
      <c r="D1752" s="11" t="inlineStr">
        <is>
          <t>Monohordi GEN-A-1</t>
        </is>
      </c>
      <c r="E1752" s="11" t="inlineStr">
        <is>
          <t>Md. Emdadul Haq</t>
        </is>
      </c>
      <c r="F1752" s="10" t="n">
        <v>10544</v>
      </c>
      <c r="G1752" s="11" t="inlineStr">
        <is>
          <t>Shibpur</t>
        </is>
      </c>
      <c r="H1752" s="10" t="n">
        <v>2105</v>
      </c>
      <c r="I1752" s="11" t="inlineStr">
        <is>
          <t>Md. Zohurul Islam</t>
        </is>
      </c>
      <c r="J1752" s="10">
        <f>IF(K1752&gt;0, "Completed", "Pending")</f>
        <v/>
      </c>
      <c r="K1752" s="10">
        <f>COUNTIF('Survey Responses'!F:F, F1752)</f>
        <v/>
      </c>
    </row>
    <row r="1753">
      <c r="A1753" s="10" t="n">
        <v>1752</v>
      </c>
      <c r="B1753" s="11" t="inlineStr">
        <is>
          <t>Narsingdi (GEN-A)</t>
        </is>
      </c>
      <c r="C1753" s="11" t="inlineStr">
        <is>
          <t>Mr. Md. Mazibar Rahman</t>
        </is>
      </c>
      <c r="D1753" s="11" t="inlineStr">
        <is>
          <t>Monohordi GEN-A-1</t>
        </is>
      </c>
      <c r="E1753" s="11" t="inlineStr">
        <is>
          <t>Md. Emdadul Haq</t>
        </is>
      </c>
      <c r="F1753" s="10" t="n">
        <v>12560</v>
      </c>
      <c r="G1753" s="11" t="inlineStr">
        <is>
          <t>Shibpur-2</t>
        </is>
      </c>
      <c r="H1753" s="10" t="n">
        <v>3943</v>
      </c>
      <c r="I1753" s="11" t="inlineStr">
        <is>
          <t>Mr. Uzzal Mondol</t>
        </is>
      </c>
      <c r="J1753" s="10">
        <f>IF(K1753&gt;0, "Completed", "Pending")</f>
        <v/>
      </c>
      <c r="K1753" s="10">
        <f>COUNTIF('Survey Responses'!F:F, F1753)</f>
        <v/>
      </c>
    </row>
    <row r="1754">
      <c r="A1754" s="10" t="n">
        <v>1753</v>
      </c>
      <c r="B1754" s="11" t="inlineStr">
        <is>
          <t>Narsingdi (GEN-A)</t>
        </is>
      </c>
      <c r="C1754" s="11" t="inlineStr">
        <is>
          <t>Mr. Md. Mazibar Rahman</t>
        </is>
      </c>
      <c r="D1754" s="11" t="inlineStr">
        <is>
          <t>Narsingdi GEN-A-1</t>
        </is>
      </c>
      <c r="E1754" s="11" t="inlineStr">
        <is>
          <t>Mr. Madan Kumar Mandal</t>
        </is>
      </c>
      <c r="F1754" s="10" t="n">
        <v>12214</v>
      </c>
      <c r="G1754" s="11" t="inlineStr">
        <is>
          <t>Belabo-1</t>
        </is>
      </c>
      <c r="H1754" s="10" t="n">
        <v>3590</v>
      </c>
      <c r="I1754" s="11" t="inlineStr">
        <is>
          <t>Mr. Md. Rabiul Islam</t>
        </is>
      </c>
      <c r="J1754" s="10">
        <f>IF(K1754&gt;0, "Completed", "Pending")</f>
        <v/>
      </c>
      <c r="K1754" s="10">
        <f>COUNTIF('Survey Responses'!F:F, F1754)</f>
        <v/>
      </c>
    </row>
    <row r="1755">
      <c r="A1755" s="10" t="n">
        <v>1754</v>
      </c>
      <c r="B1755" s="11" t="inlineStr">
        <is>
          <t>Narsingdi (GEN-A)</t>
        </is>
      </c>
      <c r="C1755" s="11" t="inlineStr">
        <is>
          <t>Mr. Md. Mazibar Rahman</t>
        </is>
      </c>
      <c r="D1755" s="11" t="inlineStr">
        <is>
          <t>Narsingdi GEN-A-1</t>
        </is>
      </c>
      <c r="E1755" s="11" t="inlineStr">
        <is>
          <t>Mr. Madan Kumar Mandal</t>
        </is>
      </c>
      <c r="F1755" s="10" t="n">
        <v>10542</v>
      </c>
      <c r="G1755" s="11" t="inlineStr">
        <is>
          <t>NSD (DistricHospital-1)</t>
        </is>
      </c>
      <c r="H1755" s="10" t="n">
        <v>7320</v>
      </c>
      <c r="I1755" s="11" t="inlineStr">
        <is>
          <t>Mr. Sabuz Chandra Roy</t>
        </is>
      </c>
      <c r="J1755" s="10">
        <f>IF(K1755&gt;0, "Completed", "Pending")</f>
        <v/>
      </c>
      <c r="K1755" s="10">
        <f>COUNTIF('Survey Responses'!F:F, F1755)</f>
        <v/>
      </c>
    </row>
    <row r="1756">
      <c r="A1756" s="10" t="n">
        <v>1755</v>
      </c>
      <c r="B1756" s="11" t="inlineStr">
        <is>
          <t>Narsingdi (GEN-A)</t>
        </is>
      </c>
      <c r="C1756" s="11" t="inlineStr">
        <is>
          <t>Mr. Md. Mazibar Rahman</t>
        </is>
      </c>
      <c r="D1756" s="11" t="inlineStr">
        <is>
          <t>Narsingdi GEN-A-1</t>
        </is>
      </c>
      <c r="E1756" s="11" t="inlineStr">
        <is>
          <t>Mr. Madan Kumar Mandal</t>
        </is>
      </c>
      <c r="F1756" s="10" t="n">
        <v>10543</v>
      </c>
      <c r="G1756" s="11" t="inlineStr">
        <is>
          <t>NSD (DistricHospital-2)</t>
        </is>
      </c>
      <c r="H1756" s="10" t="n">
        <v>5731</v>
      </c>
      <c r="I1756" s="11" t="inlineStr">
        <is>
          <t>Mr. Sheikh Sayfulla Tarik</t>
        </is>
      </c>
      <c r="J1756" s="10">
        <f>IF(K1756&gt;0, "Completed", "Pending")</f>
        <v/>
      </c>
      <c r="K1756" s="10">
        <f>COUNTIF('Survey Responses'!F:F, F1756)</f>
        <v/>
      </c>
    </row>
    <row r="1757">
      <c r="A1757" s="10" t="n">
        <v>1756</v>
      </c>
      <c r="B1757" s="11" t="inlineStr">
        <is>
          <t>Narsingdi (GEN-A)</t>
        </is>
      </c>
      <c r="C1757" s="11" t="inlineStr">
        <is>
          <t>Mr. Md. Mazibar Rahman</t>
        </is>
      </c>
      <c r="D1757" s="11" t="inlineStr">
        <is>
          <t>Narsingdi GEN-A-1</t>
        </is>
      </c>
      <c r="E1757" s="11" t="inlineStr">
        <is>
          <t>Mr. Madan Kumar Mandal</t>
        </is>
      </c>
      <c r="F1757" s="10" t="n">
        <v>10541</v>
      </c>
      <c r="G1757" s="11" t="inlineStr">
        <is>
          <t>NSD (DistricHospital-3)</t>
        </is>
      </c>
      <c r="H1757" s="10" t="n">
        <v>2659</v>
      </c>
      <c r="I1757" s="11" t="inlineStr">
        <is>
          <t xml:space="preserve">Md. Shafiqul Islam </t>
        </is>
      </c>
      <c r="J1757" s="10">
        <f>IF(K1757&gt;0, "Completed", "Pending")</f>
        <v/>
      </c>
      <c r="K1757" s="10">
        <f>COUNTIF('Survey Responses'!F:F, F1757)</f>
        <v/>
      </c>
    </row>
    <row r="1758">
      <c r="A1758" s="10" t="n">
        <v>1757</v>
      </c>
      <c r="B1758" s="11" t="inlineStr">
        <is>
          <t>Narsingdi (GEN-A)</t>
        </is>
      </c>
      <c r="C1758" s="11" t="inlineStr">
        <is>
          <t>Mr. Md. Mazibar Rahman</t>
        </is>
      </c>
      <c r="D1758" s="11" t="inlineStr">
        <is>
          <t>Narsingdi GEN-A-1</t>
        </is>
      </c>
      <c r="E1758" s="11" t="inlineStr">
        <is>
          <t>Mr. Madan Kumar Mandal</t>
        </is>
      </c>
      <c r="F1758" s="10" t="n">
        <v>13660</v>
      </c>
      <c r="G1758" s="11" t="inlineStr">
        <is>
          <t>NSD (DistricHospital-4)</t>
        </is>
      </c>
      <c r="H1758" s="10" t="n">
        <v>7293</v>
      </c>
      <c r="I1758" s="11" t="inlineStr">
        <is>
          <t>Mr. Md. Rashedul Islam</t>
        </is>
      </c>
      <c r="J1758" s="10">
        <f>IF(K1758&gt;0, "Completed", "Pending")</f>
        <v/>
      </c>
      <c r="K1758" s="10">
        <f>COUNTIF('Survey Responses'!F:F, F1758)</f>
        <v/>
      </c>
    </row>
    <row r="1759">
      <c r="A1759" s="10" t="n">
        <v>1758</v>
      </c>
      <c r="B1759" s="11" t="inlineStr">
        <is>
          <t>Narsingdi (GEN-A)</t>
        </is>
      </c>
      <c r="C1759" s="11" t="inlineStr">
        <is>
          <t>Mr. Md. Mazibar Rahman</t>
        </is>
      </c>
      <c r="D1759" s="11" t="inlineStr">
        <is>
          <t>Narsingdi GEN-A-1</t>
        </is>
      </c>
      <c r="E1759" s="11" t="inlineStr">
        <is>
          <t>Mr. Madan Kumar Mandal</t>
        </is>
      </c>
      <c r="F1759" s="10" t="n">
        <v>14850</v>
      </c>
      <c r="G1759" s="11" t="inlineStr">
        <is>
          <t>NSD (District Hospital-5)</t>
        </is>
      </c>
      <c r="H1759" s="10" t="n">
        <v>8945</v>
      </c>
      <c r="I1759" s="11" t="inlineStr">
        <is>
          <t>Mr. Morshed Alam</t>
        </is>
      </c>
      <c r="J1759" s="10">
        <f>IF(K1759&gt;0, "Completed", "Pending")</f>
        <v/>
      </c>
      <c r="K1759" s="10">
        <f>COUNTIF('Survey Responses'!F:F, F1759)</f>
        <v/>
      </c>
    </row>
    <row r="1760">
      <c r="A1760" s="10" t="n">
        <v>1759</v>
      </c>
      <c r="B1760" s="11" t="inlineStr">
        <is>
          <t>Narsingdi (GEN-A)</t>
        </is>
      </c>
      <c r="C1760" s="11" t="inlineStr">
        <is>
          <t>Mr. Md. Mazibar Rahman</t>
        </is>
      </c>
      <c r="D1760" s="11" t="inlineStr">
        <is>
          <t>Narsingdi GEN-A-1</t>
        </is>
      </c>
      <c r="E1760" s="11" t="inlineStr">
        <is>
          <t>Mr. Madan Kumar Mandal</t>
        </is>
      </c>
      <c r="F1760" s="10" t="n">
        <v>14126</v>
      </c>
      <c r="G1760" s="11" t="inlineStr">
        <is>
          <t>Panchdona-1</t>
        </is>
      </c>
      <c r="H1760" s="10" t="n">
        <v>7417</v>
      </c>
      <c r="I1760" s="11" t="inlineStr">
        <is>
          <t>Mr. Babul Chandra Roy</t>
        </is>
      </c>
      <c r="J1760" s="10">
        <f>IF(K1760&gt;0, "Completed", "Pending")</f>
        <v/>
      </c>
      <c r="K1760" s="10">
        <f>COUNTIF('Survey Responses'!F:F, F1760)</f>
        <v/>
      </c>
    </row>
    <row r="1761">
      <c r="A1761" s="10" t="n">
        <v>1760</v>
      </c>
      <c r="B1761" s="11" t="inlineStr">
        <is>
          <t>Narsingdi (GEN-A)</t>
        </is>
      </c>
      <c r="C1761" s="11" t="inlineStr">
        <is>
          <t>Mr. Md. Mazibar Rahman</t>
        </is>
      </c>
      <c r="D1761" s="11" t="inlineStr">
        <is>
          <t>Narsingdi GEN-A-2</t>
        </is>
      </c>
      <c r="E1761" s="11" t="inlineStr">
        <is>
          <t>Mr. Md. Musharaf Hossain</t>
        </is>
      </c>
      <c r="F1761" s="10" t="n">
        <v>10547</v>
      </c>
      <c r="G1761" s="11" t="inlineStr">
        <is>
          <t>NSD (Sador Hospital-1)</t>
        </is>
      </c>
      <c r="H1761" s="10" t="n">
        <v>4168</v>
      </c>
      <c r="I1761" s="11" t="inlineStr">
        <is>
          <t>Mr. Md. Najmul Islam</t>
        </is>
      </c>
      <c r="J1761" s="10">
        <f>IF(K1761&gt;0, "Completed", "Pending")</f>
        <v/>
      </c>
      <c r="K1761" s="10">
        <f>COUNTIF('Survey Responses'!F:F, F1761)</f>
        <v/>
      </c>
    </row>
    <row r="1762">
      <c r="A1762" s="10" t="n">
        <v>1761</v>
      </c>
      <c r="B1762" s="11" t="inlineStr">
        <is>
          <t>Narsingdi (GEN-A)</t>
        </is>
      </c>
      <c r="C1762" s="11" t="inlineStr">
        <is>
          <t>Mr. Md. Mazibar Rahman</t>
        </is>
      </c>
      <c r="D1762" s="11" t="inlineStr">
        <is>
          <t>Narsingdi GEN-A-2</t>
        </is>
      </c>
      <c r="E1762" s="11" t="inlineStr">
        <is>
          <t>Mr. Md. Musharaf Hossain</t>
        </is>
      </c>
      <c r="F1762" s="10" t="n">
        <v>10548</v>
      </c>
      <c r="G1762" s="11" t="inlineStr">
        <is>
          <t>NSD (Sador Hospital-2)</t>
        </is>
      </c>
      <c r="H1762" s="10" t="n">
        <v>1689</v>
      </c>
      <c r="I1762" s="11" t="inlineStr">
        <is>
          <t>Md. Ali Hossain</t>
        </is>
      </c>
      <c r="J1762" s="10">
        <f>IF(K1762&gt;0, "Completed", "Pending")</f>
        <v/>
      </c>
      <c r="K1762" s="10">
        <f>COUNTIF('Survey Responses'!F:F, F1762)</f>
        <v/>
      </c>
    </row>
    <row r="1763">
      <c r="A1763" s="10" t="n">
        <v>1762</v>
      </c>
      <c r="B1763" s="11" t="inlineStr">
        <is>
          <t>Narsingdi (GEN-A)</t>
        </is>
      </c>
      <c r="C1763" s="11" t="inlineStr">
        <is>
          <t>Mr. Md. Mazibar Rahman</t>
        </is>
      </c>
      <c r="D1763" s="11" t="inlineStr">
        <is>
          <t>Narsingdi GEN-A-2</t>
        </is>
      </c>
      <c r="E1763" s="11" t="inlineStr">
        <is>
          <t>Mr. Md. Musharaf Hossain</t>
        </is>
      </c>
      <c r="F1763" s="10" t="n">
        <v>10549</v>
      </c>
      <c r="G1763" s="11" t="inlineStr">
        <is>
          <t>NSD (Sador Hospital-3)</t>
        </is>
      </c>
      <c r="H1763" s="10" t="n">
        <v>3940</v>
      </c>
      <c r="I1763" s="11" t="inlineStr">
        <is>
          <t>Mr. Md. Humayon Kabir</t>
        </is>
      </c>
      <c r="J1763" s="10">
        <f>IF(K1763&gt;0, "Completed", "Pending")</f>
        <v/>
      </c>
      <c r="K1763" s="10">
        <f>COUNTIF('Survey Responses'!F:F, F1763)</f>
        <v/>
      </c>
    </row>
    <row r="1764">
      <c r="A1764" s="10" t="n">
        <v>1763</v>
      </c>
      <c r="B1764" s="11" t="inlineStr">
        <is>
          <t>Narsingdi (GEN-A)</t>
        </is>
      </c>
      <c r="C1764" s="11" t="inlineStr">
        <is>
          <t>Mr. Md. Mazibar Rahman</t>
        </is>
      </c>
      <c r="D1764" s="11" t="inlineStr">
        <is>
          <t>Narsingdi GEN-A-2</t>
        </is>
      </c>
      <c r="E1764" s="11" t="inlineStr">
        <is>
          <t>Mr. Md. Musharaf Hossain</t>
        </is>
      </c>
      <c r="F1764" s="10" t="n">
        <v>12559</v>
      </c>
      <c r="G1764" s="11" t="inlineStr">
        <is>
          <t>NSD (Sador Hospital-4)</t>
        </is>
      </c>
      <c r="H1764" s="10" t="n">
        <v>4145</v>
      </c>
      <c r="I1764" s="11" t="inlineStr">
        <is>
          <t>Mr. Tanvir Mahmud</t>
        </is>
      </c>
      <c r="J1764" s="10">
        <f>IF(K1764&gt;0, "Completed", "Pending")</f>
        <v/>
      </c>
      <c r="K1764" s="10">
        <f>COUNTIF('Survey Responses'!F:F, F1764)</f>
        <v/>
      </c>
    </row>
    <row r="1765">
      <c r="A1765" s="10" t="n">
        <v>1764</v>
      </c>
      <c r="B1765" s="11" t="inlineStr">
        <is>
          <t>Narsingdi (GEN-A)</t>
        </is>
      </c>
      <c r="C1765" s="11" t="inlineStr">
        <is>
          <t>Mr. Md. Mazibar Rahman</t>
        </is>
      </c>
      <c r="D1765" s="11" t="inlineStr">
        <is>
          <t>Narsingdi GEN-A-2</t>
        </is>
      </c>
      <c r="E1765" s="11" t="inlineStr">
        <is>
          <t>Mr. Md. Musharaf Hossain</t>
        </is>
      </c>
      <c r="F1765" s="10" t="n">
        <v>10550</v>
      </c>
      <c r="G1765" s="11" t="inlineStr">
        <is>
          <t>Raipura-1</t>
        </is>
      </c>
      <c r="H1765" s="10" t="n">
        <v>1794</v>
      </c>
      <c r="I1765" s="11" t="inlineStr">
        <is>
          <t>A.K.M Arifur Rahman</t>
        </is>
      </c>
      <c r="J1765" s="10">
        <f>IF(K1765&gt;0, "Completed", "Pending")</f>
        <v/>
      </c>
      <c r="K1765" s="10">
        <f>COUNTIF('Survey Responses'!F:F, F1765)</f>
        <v/>
      </c>
    </row>
    <row r="1766">
      <c r="A1766" s="10" t="n">
        <v>1765</v>
      </c>
      <c r="B1766" s="11" t="inlineStr">
        <is>
          <t>Narsingdi (GEN-A)</t>
        </is>
      </c>
      <c r="C1766" s="11" t="inlineStr">
        <is>
          <t>Mr. Md. Mazibar Rahman</t>
        </is>
      </c>
      <c r="D1766" s="11" t="inlineStr">
        <is>
          <t>Narsingdi GEN-A-2</t>
        </is>
      </c>
      <c r="E1766" s="11" t="inlineStr">
        <is>
          <t>Mr. Md. Musharaf Hossain</t>
        </is>
      </c>
      <c r="F1766" s="10" t="n">
        <v>10551</v>
      </c>
      <c r="G1766" s="11" t="inlineStr">
        <is>
          <t>Raipura-2</t>
        </is>
      </c>
      <c r="H1766" s="10" t="n">
        <v>2601</v>
      </c>
      <c r="I1766" s="11" t="inlineStr">
        <is>
          <t>Md. Masud Rana</t>
        </is>
      </c>
      <c r="J1766" s="10">
        <f>IF(K1766&gt;0, "Completed", "Pending")</f>
        <v/>
      </c>
      <c r="K1766" s="10">
        <f>COUNTIF('Survey Responses'!F:F, F1766)</f>
        <v/>
      </c>
    </row>
    <row r="1767">
      <c r="A1767" s="10" t="n">
        <v>1766</v>
      </c>
      <c r="B1767" s="11" t="inlineStr">
        <is>
          <t>Narsingdi (GEN-A)</t>
        </is>
      </c>
      <c r="C1767" s="11" t="inlineStr">
        <is>
          <t>Mr. Md. Mazibar Rahman</t>
        </is>
      </c>
      <c r="D1767" s="11" t="inlineStr">
        <is>
          <t>Narsingdi GEN-A-2</t>
        </is>
      </c>
      <c r="E1767" s="11" t="inlineStr">
        <is>
          <t>Mr. Md. Musharaf Hossain</t>
        </is>
      </c>
      <c r="F1767" s="10" t="n">
        <v>13058</v>
      </c>
      <c r="G1767" s="11" t="inlineStr">
        <is>
          <t>Raipura-3</t>
        </is>
      </c>
      <c r="H1767" s="10" t="n">
        <v>5391</v>
      </c>
      <c r="I1767" s="11" t="inlineStr">
        <is>
          <t>Md. Delwar Hossen</t>
        </is>
      </c>
      <c r="J1767" s="10">
        <f>IF(K1767&gt;0, "Completed", "Pending")</f>
        <v/>
      </c>
      <c r="K1767" s="10">
        <f>COUNTIF('Survey Responses'!F:F, F1767)</f>
        <v/>
      </c>
    </row>
    <row r="1768">
      <c r="A1768" s="10" t="n">
        <v>1767</v>
      </c>
      <c r="B1768" s="11" t="inlineStr">
        <is>
          <t>Sylhet-A (GEN-A)</t>
        </is>
      </c>
      <c r="C1768" s="11" t="inlineStr">
        <is>
          <t>Mr. Md. Salah Uddin Khan</t>
        </is>
      </c>
      <c r="D1768" s="11" t="inlineStr">
        <is>
          <t>Beanibazar GEN-A-1</t>
        </is>
      </c>
      <c r="E1768" s="11" t="inlineStr">
        <is>
          <t>Mohammad Monir Ahmed</t>
        </is>
      </c>
      <c r="F1768" s="10" t="n">
        <v>10616</v>
      </c>
      <c r="G1768" s="11" t="inlineStr">
        <is>
          <t>Beanibazar-1</t>
        </is>
      </c>
      <c r="H1768" s="10" t="n">
        <v>5673</v>
      </c>
      <c r="I1768" s="11" t="inlineStr">
        <is>
          <t>Mr. Tofayel Ahmed</t>
        </is>
      </c>
      <c r="J1768" s="10">
        <f>IF(K1768&gt;0, "Completed", "Pending")</f>
        <v/>
      </c>
      <c r="K1768" s="10">
        <f>COUNTIF('Survey Responses'!F:F, F1768)</f>
        <v/>
      </c>
    </row>
    <row r="1769">
      <c r="A1769" s="10" t="n">
        <v>1768</v>
      </c>
      <c r="B1769" s="11" t="inlineStr">
        <is>
          <t>Sylhet-A (GEN-A)</t>
        </is>
      </c>
      <c r="C1769" s="11" t="inlineStr">
        <is>
          <t>Mr. Md. Salah Uddin Khan</t>
        </is>
      </c>
      <c r="D1769" s="11" t="inlineStr">
        <is>
          <t>Beanibazar GEN-A-1</t>
        </is>
      </c>
      <c r="E1769" s="11" t="inlineStr">
        <is>
          <t>Mohammad Monir Ahmed</t>
        </is>
      </c>
      <c r="F1769" s="10" t="n">
        <v>10612</v>
      </c>
      <c r="G1769" s="11" t="inlineStr">
        <is>
          <t>Beanibazar-2</t>
        </is>
      </c>
      <c r="H1769" s="10" t="n">
        <v>6821</v>
      </c>
      <c r="I1769" s="11" t="inlineStr">
        <is>
          <t>Mr. Md. Ismail Hossain</t>
        </is>
      </c>
      <c r="J1769" s="10">
        <f>IF(K1769&gt;0, "Completed", "Pending")</f>
        <v/>
      </c>
      <c r="K1769" s="10">
        <f>COUNTIF('Survey Responses'!F:F, F1769)</f>
        <v/>
      </c>
    </row>
    <row r="1770">
      <c r="A1770" s="10" t="n">
        <v>1769</v>
      </c>
      <c r="B1770" s="11" t="inlineStr">
        <is>
          <t>Sylhet-A (GEN-A)</t>
        </is>
      </c>
      <c r="C1770" s="11" t="inlineStr">
        <is>
          <t>Mr. Md. Salah Uddin Khan</t>
        </is>
      </c>
      <c r="D1770" s="11" t="inlineStr">
        <is>
          <t>Beanibazar GEN-A-1</t>
        </is>
      </c>
      <c r="E1770" s="11" t="inlineStr">
        <is>
          <t>Mohammad Monir Ahmed</t>
        </is>
      </c>
      <c r="F1770" s="10" t="n">
        <v>10614</v>
      </c>
      <c r="G1770" s="11" t="inlineStr">
        <is>
          <t>Beanibazar-3</t>
        </is>
      </c>
      <c r="H1770" s="10" t="n">
        <v>3127</v>
      </c>
      <c r="I1770" s="11" t="inlineStr">
        <is>
          <t>Mitun Chandra Roy</t>
        </is>
      </c>
      <c r="J1770" s="10">
        <f>IF(K1770&gt;0, "Completed", "Pending")</f>
        <v/>
      </c>
      <c r="K1770" s="10">
        <f>COUNTIF('Survey Responses'!F:F, F1770)</f>
        <v/>
      </c>
    </row>
    <row r="1771">
      <c r="A1771" s="10" t="n">
        <v>1770</v>
      </c>
      <c r="B1771" s="11" t="inlineStr">
        <is>
          <t>Sylhet-A (GEN-A)</t>
        </is>
      </c>
      <c r="C1771" s="11" t="inlineStr">
        <is>
          <t>Mr. Md. Salah Uddin Khan</t>
        </is>
      </c>
      <c r="D1771" s="11" t="inlineStr">
        <is>
          <t>Beanibazar GEN-A-1</t>
        </is>
      </c>
      <c r="E1771" s="11" t="inlineStr">
        <is>
          <t>Mohammad Monir Ahmed</t>
        </is>
      </c>
      <c r="F1771" s="10" t="n">
        <v>12936</v>
      </c>
      <c r="G1771" s="11" t="inlineStr">
        <is>
          <t>Beanibazar-4</t>
        </is>
      </c>
      <c r="H1771" s="10" t="n">
        <v>5135</v>
      </c>
      <c r="I1771" s="11" t="inlineStr">
        <is>
          <t>Mr. Md. Anisur Rahman</t>
        </is>
      </c>
      <c r="J1771" s="10">
        <f>IF(K1771&gt;0, "Completed", "Pending")</f>
        <v/>
      </c>
      <c r="K1771" s="10">
        <f>COUNTIF('Survey Responses'!F:F, F1771)</f>
        <v/>
      </c>
    </row>
    <row r="1772">
      <c r="A1772" s="10" t="n">
        <v>1771</v>
      </c>
      <c r="B1772" s="11" t="inlineStr">
        <is>
          <t>Sylhet-A (GEN-A)</t>
        </is>
      </c>
      <c r="C1772" s="11" t="inlineStr">
        <is>
          <t>Mr. Md. Salah Uddin Khan</t>
        </is>
      </c>
      <c r="D1772" s="11" t="inlineStr">
        <is>
          <t>Beanibazar GEN-A-1</t>
        </is>
      </c>
      <c r="E1772" s="11" t="inlineStr">
        <is>
          <t>Mohammad Monir Ahmed</t>
        </is>
      </c>
      <c r="F1772" s="10" t="n">
        <v>10615</v>
      </c>
      <c r="G1772" s="11" t="inlineStr">
        <is>
          <t>Charkhai</t>
        </is>
      </c>
      <c r="H1772" s="10" t="n">
        <v>1260</v>
      </c>
      <c r="I1772" s="11" t="inlineStr">
        <is>
          <t>Md. Jakaria Hossain</t>
        </is>
      </c>
      <c r="J1772" s="10">
        <f>IF(K1772&gt;0, "Completed", "Pending")</f>
        <v/>
      </c>
      <c r="K1772" s="10">
        <f>COUNTIF('Survey Responses'!F:F, F1772)</f>
        <v/>
      </c>
    </row>
    <row r="1773">
      <c r="A1773" s="10" t="n">
        <v>1772</v>
      </c>
      <c r="B1773" s="11" t="inlineStr">
        <is>
          <t>Sylhet-A (GEN-A)</t>
        </is>
      </c>
      <c r="C1773" s="11" t="inlineStr">
        <is>
          <t>Mr. Md. Salah Uddin Khan</t>
        </is>
      </c>
      <c r="D1773" s="11" t="inlineStr">
        <is>
          <t>Beanibazar GEN-A-1</t>
        </is>
      </c>
      <c r="E1773" s="11" t="inlineStr">
        <is>
          <t>Mohammad Monir Ahmed</t>
        </is>
      </c>
      <c r="F1773" s="10" t="n">
        <v>10613</v>
      </c>
      <c r="G1773" s="11" t="inlineStr">
        <is>
          <t>Jokigonj</t>
        </is>
      </c>
      <c r="H1773" s="10" t="n">
        <v>1571</v>
      </c>
      <c r="I1773" s="11" t="inlineStr">
        <is>
          <t>Md. Abu Sayed Sarker</t>
        </is>
      </c>
      <c r="J1773" s="10">
        <f>IF(K1773&gt;0, "Completed", "Pending")</f>
        <v/>
      </c>
      <c r="K1773" s="10">
        <f>COUNTIF('Survey Responses'!F:F, F1773)</f>
        <v/>
      </c>
    </row>
    <row r="1774">
      <c r="A1774" s="10" t="n">
        <v>1773</v>
      </c>
      <c r="B1774" s="11" t="inlineStr">
        <is>
          <t>Sylhet-A (GEN-A)</t>
        </is>
      </c>
      <c r="C1774" s="11" t="inlineStr">
        <is>
          <t>Mr. Md. Salah Uddin Khan</t>
        </is>
      </c>
      <c r="D1774" s="11" t="inlineStr">
        <is>
          <t>Beanibazar GEN-A-1</t>
        </is>
      </c>
      <c r="E1774" s="11" t="inlineStr">
        <is>
          <t>Mohammad Monir Ahmed</t>
        </is>
      </c>
      <c r="F1774" s="10" t="n">
        <v>10618</v>
      </c>
      <c r="G1774" s="11" t="inlineStr">
        <is>
          <t>Kaligonj</t>
        </is>
      </c>
      <c r="H1774" s="10" t="n">
        <v>1229</v>
      </c>
      <c r="I1774" s="11" t="inlineStr">
        <is>
          <t>Md. Mijanur Rahman</t>
        </is>
      </c>
      <c r="J1774" s="10">
        <f>IF(K1774&gt;0, "Completed", "Pending")</f>
        <v/>
      </c>
      <c r="K1774" s="10">
        <f>COUNTIF('Survey Responses'!F:F, F1774)</f>
        <v/>
      </c>
    </row>
    <row r="1775">
      <c r="A1775" s="10" t="n">
        <v>1774</v>
      </c>
      <c r="B1775" s="11" t="inlineStr">
        <is>
          <t>Sylhet-A (GEN-A)</t>
        </is>
      </c>
      <c r="C1775" s="11" t="inlineStr">
        <is>
          <t>Mr. Md. Salah Uddin Khan</t>
        </is>
      </c>
      <c r="D1775" s="11" t="inlineStr">
        <is>
          <t>Goalabazar GEN-A-1</t>
        </is>
      </c>
      <c r="E1775" s="11" t="inlineStr">
        <is>
          <t>Mamonur Rashid</t>
        </is>
      </c>
      <c r="F1775" s="10" t="n">
        <v>10622</v>
      </c>
      <c r="G1775" s="11" t="inlineStr">
        <is>
          <t>Fenchugonj-1</t>
        </is>
      </c>
      <c r="H1775" s="10" t="n">
        <v>2982</v>
      </c>
      <c r="I1775" s="11" t="inlineStr">
        <is>
          <t>Nayan Chandra</t>
        </is>
      </c>
      <c r="J1775" s="10">
        <f>IF(K1775&gt;0, "Completed", "Pending")</f>
        <v/>
      </c>
      <c r="K1775" s="10">
        <f>COUNTIF('Survey Responses'!F:F, F1775)</f>
        <v/>
      </c>
    </row>
    <row r="1776">
      <c r="A1776" s="10" t="n">
        <v>1775</v>
      </c>
      <c r="B1776" s="11" t="inlineStr">
        <is>
          <t>Sylhet-A (GEN-A)</t>
        </is>
      </c>
      <c r="C1776" s="11" t="inlineStr">
        <is>
          <t>Mr. Md. Salah Uddin Khan</t>
        </is>
      </c>
      <c r="D1776" s="11" t="inlineStr">
        <is>
          <t>Goalabazar GEN-A-1</t>
        </is>
      </c>
      <c r="E1776" s="11" t="inlineStr">
        <is>
          <t>Mamonur Rashid</t>
        </is>
      </c>
      <c r="F1776" s="10" t="n">
        <v>10625</v>
      </c>
      <c r="G1776" s="11" t="inlineStr">
        <is>
          <t>Fenchugonj-2</t>
        </is>
      </c>
      <c r="H1776" s="10" t="n">
        <v>2738</v>
      </c>
      <c r="I1776" s="11" t="inlineStr">
        <is>
          <t>Md. Rabiul Islam</t>
        </is>
      </c>
      <c r="J1776" s="10">
        <f>IF(K1776&gt;0, "Completed", "Pending")</f>
        <v/>
      </c>
      <c r="K1776" s="10">
        <f>COUNTIF('Survey Responses'!F:F, F1776)</f>
        <v/>
      </c>
    </row>
    <row r="1777">
      <c r="A1777" s="10" t="n">
        <v>1776</v>
      </c>
      <c r="B1777" s="11" t="inlineStr">
        <is>
          <t>Sylhet-A (GEN-A)</t>
        </is>
      </c>
      <c r="C1777" s="11" t="inlineStr">
        <is>
          <t>Mr. Md. Salah Uddin Khan</t>
        </is>
      </c>
      <c r="D1777" s="11" t="inlineStr">
        <is>
          <t>Goalabazar GEN-A-1</t>
        </is>
      </c>
      <c r="E1777" s="11" t="inlineStr">
        <is>
          <t>Mamonur Rashid</t>
        </is>
      </c>
      <c r="F1777" s="10" t="n">
        <v>13633</v>
      </c>
      <c r="G1777" s="11" t="inlineStr">
        <is>
          <t>Fenchugonj-3</t>
        </is>
      </c>
      <c r="H1777" s="10" t="n">
        <v>1385</v>
      </c>
      <c r="I1777" s="11" t="inlineStr">
        <is>
          <t>Md. Remanur Rahman</t>
        </is>
      </c>
      <c r="J1777" s="10">
        <f>IF(K1777&gt;0, "Completed", "Pending")</f>
        <v/>
      </c>
      <c r="K1777" s="10">
        <f>COUNTIF('Survey Responses'!F:F, F1777)</f>
        <v/>
      </c>
    </row>
    <row r="1778">
      <c r="A1778" s="10" t="n">
        <v>1777</v>
      </c>
      <c r="B1778" s="11" t="inlineStr">
        <is>
          <t>Sylhet-A (GEN-A)</t>
        </is>
      </c>
      <c r="C1778" s="11" t="inlineStr">
        <is>
          <t>Mr. Md. Salah Uddin Khan</t>
        </is>
      </c>
      <c r="D1778" s="11" t="inlineStr">
        <is>
          <t>Goalabazar GEN-A-1</t>
        </is>
      </c>
      <c r="E1778" s="11" t="inlineStr">
        <is>
          <t>Mamonur Rashid</t>
        </is>
      </c>
      <c r="F1778" s="10" t="n">
        <v>10641</v>
      </c>
      <c r="G1778" s="11" t="inlineStr">
        <is>
          <t>Goalabazar-1</t>
        </is>
      </c>
      <c r="H1778" s="10" t="n">
        <v>4034</v>
      </c>
      <c r="I1778" s="11" t="inlineStr">
        <is>
          <t>Md. Mahfuz Ahmed</t>
        </is>
      </c>
      <c r="J1778" s="10">
        <f>IF(K1778&gt;0, "Completed", "Pending")</f>
        <v/>
      </c>
      <c r="K1778" s="10">
        <f>COUNTIF('Survey Responses'!F:F, F1778)</f>
        <v/>
      </c>
    </row>
    <row r="1779">
      <c r="A1779" s="10" t="n">
        <v>1778</v>
      </c>
      <c r="B1779" s="11" t="inlineStr">
        <is>
          <t>Sylhet-A (GEN-A)</t>
        </is>
      </c>
      <c r="C1779" s="11" t="inlineStr">
        <is>
          <t>Mr. Md. Salah Uddin Khan</t>
        </is>
      </c>
      <c r="D1779" s="11" t="inlineStr">
        <is>
          <t>Goalabazar GEN-A-1</t>
        </is>
      </c>
      <c r="E1779" s="11" t="inlineStr">
        <is>
          <t>Mamonur Rashid</t>
        </is>
      </c>
      <c r="F1779" s="10" t="n">
        <v>10646</v>
      </c>
      <c r="G1779" s="11" t="inlineStr">
        <is>
          <t>Goalabazar-2</t>
        </is>
      </c>
      <c r="H1779" s="10" t="n">
        <v>3990</v>
      </c>
      <c r="I1779" s="11" t="inlineStr">
        <is>
          <t>Mr. Md. Jamil Raihan</t>
        </is>
      </c>
      <c r="J1779" s="10">
        <f>IF(K1779&gt;0, "Completed", "Pending")</f>
        <v/>
      </c>
      <c r="K1779" s="10">
        <f>COUNTIF('Survey Responses'!F:F, F1779)</f>
        <v/>
      </c>
    </row>
    <row r="1780">
      <c r="A1780" s="10" t="n">
        <v>1779</v>
      </c>
      <c r="B1780" s="11" t="inlineStr">
        <is>
          <t>Sylhet-A (GEN-A)</t>
        </is>
      </c>
      <c r="C1780" s="11" t="inlineStr">
        <is>
          <t>Mr. Md. Salah Uddin Khan</t>
        </is>
      </c>
      <c r="D1780" s="11" t="inlineStr">
        <is>
          <t>Goalabazar GEN-A-1</t>
        </is>
      </c>
      <c r="E1780" s="11" t="inlineStr">
        <is>
          <t>Mamonur Rashid</t>
        </is>
      </c>
      <c r="F1780" s="10" t="n">
        <v>13259</v>
      </c>
      <c r="G1780" s="11" t="inlineStr">
        <is>
          <t>Goalabazar-3</t>
        </is>
      </c>
      <c r="H1780" s="10" t="n">
        <v>3147</v>
      </c>
      <c r="I1780" s="11" t="inlineStr">
        <is>
          <t>Mr. Md. Tuhin Reza</t>
        </is>
      </c>
      <c r="J1780" s="10">
        <f>IF(K1780&gt;0, "Completed", "Pending")</f>
        <v/>
      </c>
      <c r="K1780" s="10">
        <f>COUNTIF('Survey Responses'!F:F, F1780)</f>
        <v/>
      </c>
    </row>
    <row r="1781">
      <c r="A1781" s="10" t="n">
        <v>1780</v>
      </c>
      <c r="B1781" s="11" t="inlineStr">
        <is>
          <t>Sylhet-A (GEN-A)</t>
        </is>
      </c>
      <c r="C1781" s="11" t="inlineStr">
        <is>
          <t>Mr. Md. Salah Uddin Khan</t>
        </is>
      </c>
      <c r="D1781" s="11" t="inlineStr">
        <is>
          <t>Goalabazar GEN-A-1</t>
        </is>
      </c>
      <c r="E1781" s="11" t="inlineStr">
        <is>
          <t>Mamonur Rashid</t>
        </is>
      </c>
      <c r="F1781" s="10" t="n">
        <v>14841</v>
      </c>
      <c r="G1781" s="11" t="inlineStr">
        <is>
          <t>Goalabazar-4</t>
        </is>
      </c>
      <c r="H1781" s="10" t="n">
        <v>8931</v>
      </c>
      <c r="I1781" s="11" t="inlineStr">
        <is>
          <t>Mr. Md. Rasheduzzaman Rasel</t>
        </is>
      </c>
      <c r="J1781" s="10">
        <f>IF(K1781&gt;0, "Completed", "Pending")</f>
        <v/>
      </c>
      <c r="K1781" s="10">
        <f>COUNTIF('Survey Responses'!F:F, F1781)</f>
        <v/>
      </c>
    </row>
    <row r="1782">
      <c r="A1782" s="10" t="n">
        <v>1781</v>
      </c>
      <c r="B1782" s="11" t="inlineStr">
        <is>
          <t>Sylhet-A (GEN-A)</t>
        </is>
      </c>
      <c r="C1782" s="11" t="inlineStr">
        <is>
          <t>Mr. Md. Salah Uddin Khan</t>
        </is>
      </c>
      <c r="D1782" s="11" t="inlineStr">
        <is>
          <t>Golapgonj GEN-A-1</t>
        </is>
      </c>
      <c r="E1782" s="11" t="inlineStr">
        <is>
          <t>Md. Chanchal Hossain</t>
        </is>
      </c>
      <c r="F1782" s="10" t="n">
        <v>10667</v>
      </c>
      <c r="G1782" s="11" t="inlineStr">
        <is>
          <t>DhakaDhakin-1</t>
        </is>
      </c>
      <c r="H1782" s="10" t="n">
        <v>1773</v>
      </c>
      <c r="I1782" s="11" t="inlineStr">
        <is>
          <t>Imam Hasan</t>
        </is>
      </c>
      <c r="J1782" s="10">
        <f>IF(K1782&gt;0, "Completed", "Pending")</f>
        <v/>
      </c>
      <c r="K1782" s="10">
        <f>COUNTIF('Survey Responses'!F:F, F1782)</f>
        <v/>
      </c>
    </row>
    <row r="1783">
      <c r="A1783" s="10" t="n">
        <v>1782</v>
      </c>
      <c r="B1783" s="11" t="inlineStr">
        <is>
          <t>Sylhet-A (GEN-A)</t>
        </is>
      </c>
      <c r="C1783" s="11" t="inlineStr">
        <is>
          <t>Mr. Md. Salah Uddin Khan</t>
        </is>
      </c>
      <c r="D1783" s="11" t="inlineStr">
        <is>
          <t>Golapgonj GEN-A-1</t>
        </is>
      </c>
      <c r="E1783" s="11" t="inlineStr">
        <is>
          <t>Md. Chanchal Hossain</t>
        </is>
      </c>
      <c r="F1783" s="10" t="n">
        <v>12339</v>
      </c>
      <c r="G1783" s="11" t="inlineStr">
        <is>
          <t>DhakaDhakin-2</t>
        </is>
      </c>
      <c r="H1783" s="10" t="n">
        <v>3423</v>
      </c>
      <c r="I1783" s="11" t="inlineStr">
        <is>
          <t>Mr. Md. Minhazul Islam</t>
        </is>
      </c>
      <c r="J1783" s="10">
        <f>IF(K1783&gt;0, "Completed", "Pending")</f>
        <v/>
      </c>
      <c r="K1783" s="10">
        <f>COUNTIF('Survey Responses'!F:F, F1783)</f>
        <v/>
      </c>
    </row>
    <row r="1784">
      <c r="A1784" s="10" t="n">
        <v>1783</v>
      </c>
      <c r="B1784" s="11" t="inlineStr">
        <is>
          <t>Sylhet-A (GEN-A)</t>
        </is>
      </c>
      <c r="C1784" s="11" t="inlineStr">
        <is>
          <t>Mr. Md. Salah Uddin Khan</t>
        </is>
      </c>
      <c r="D1784" s="11" t="inlineStr">
        <is>
          <t>Golapgonj GEN-A-1</t>
        </is>
      </c>
      <c r="E1784" s="11" t="inlineStr">
        <is>
          <t>Md. Chanchal Hossain</t>
        </is>
      </c>
      <c r="F1784" s="10" t="n">
        <v>10630</v>
      </c>
      <c r="G1784" s="11" t="inlineStr">
        <is>
          <t>Golapganj-1</t>
        </is>
      </c>
      <c r="H1784" s="10" t="n">
        <v>5658</v>
      </c>
      <c r="I1784" s="11" t="inlineStr">
        <is>
          <t>Mr. Oasim Akram</t>
        </is>
      </c>
      <c r="J1784" s="10">
        <f>IF(K1784&gt;0, "Completed", "Pending")</f>
        <v/>
      </c>
      <c r="K1784" s="10">
        <f>COUNTIF('Survey Responses'!F:F, F1784)</f>
        <v/>
      </c>
    </row>
    <row r="1785">
      <c r="A1785" s="10" t="n">
        <v>1784</v>
      </c>
      <c r="B1785" s="11" t="inlineStr">
        <is>
          <t>Sylhet-A (GEN-A)</t>
        </is>
      </c>
      <c r="C1785" s="11" t="inlineStr">
        <is>
          <t>Mr. Md. Salah Uddin Khan</t>
        </is>
      </c>
      <c r="D1785" s="11" t="inlineStr">
        <is>
          <t>Golapgonj GEN-A-1</t>
        </is>
      </c>
      <c r="E1785" s="11" t="inlineStr">
        <is>
          <t>Md. Chanchal Hossain</t>
        </is>
      </c>
      <c r="F1785" s="10" t="n">
        <v>10631</v>
      </c>
      <c r="G1785" s="11" t="inlineStr">
        <is>
          <t>Golapganj-2</t>
        </is>
      </c>
      <c r="H1785" s="10" t="n">
        <v>3723</v>
      </c>
      <c r="I1785" s="11" t="inlineStr">
        <is>
          <t>Mr. Liton Ahmed</t>
        </is>
      </c>
      <c r="J1785" s="10">
        <f>IF(K1785&gt;0, "Completed", "Pending")</f>
        <v/>
      </c>
      <c r="K1785" s="10">
        <f>COUNTIF('Survey Responses'!F:F, F1785)</f>
        <v/>
      </c>
    </row>
    <row r="1786">
      <c r="A1786" s="10" t="n">
        <v>1785</v>
      </c>
      <c r="B1786" s="11" t="inlineStr">
        <is>
          <t>Sylhet-A (GEN-A)</t>
        </is>
      </c>
      <c r="C1786" s="11" t="inlineStr">
        <is>
          <t>Mr. Md. Salah Uddin Khan</t>
        </is>
      </c>
      <c r="D1786" s="11" t="inlineStr">
        <is>
          <t>Golapgonj GEN-A-1</t>
        </is>
      </c>
      <c r="E1786" s="11" t="inlineStr">
        <is>
          <t>Md. Chanchal Hossain</t>
        </is>
      </c>
      <c r="F1786" s="10" t="n">
        <v>14895</v>
      </c>
      <c r="G1786" s="11" t="inlineStr">
        <is>
          <t>Golapganj-3</t>
        </is>
      </c>
      <c r="H1786" s="10" t="n">
        <v>9084</v>
      </c>
      <c r="I1786" s="11" t="inlineStr">
        <is>
          <t>Mr. Md. Sazib Hosain</t>
        </is>
      </c>
      <c r="J1786" s="10">
        <f>IF(K1786&gt;0, "Completed", "Pending")</f>
        <v/>
      </c>
      <c r="K1786" s="10">
        <f>COUNTIF('Survey Responses'!F:F, F1786)</f>
        <v/>
      </c>
    </row>
    <row r="1787">
      <c r="A1787" s="10" t="n">
        <v>1786</v>
      </c>
      <c r="B1787" s="11" t="inlineStr">
        <is>
          <t>Sylhet-A (GEN-A)</t>
        </is>
      </c>
      <c r="C1787" s="11" t="inlineStr">
        <is>
          <t>Mr. Md. Salah Uddin Khan</t>
        </is>
      </c>
      <c r="D1787" s="11" t="inlineStr">
        <is>
          <t>Golapgonj GEN-A-1</t>
        </is>
      </c>
      <c r="E1787" s="11" t="inlineStr">
        <is>
          <t>Md. Chanchal Hossain</t>
        </is>
      </c>
      <c r="F1787" s="10" t="n">
        <v>10617</v>
      </c>
      <c r="G1787" s="11" t="inlineStr">
        <is>
          <t>Khanaighat-1</t>
        </is>
      </c>
      <c r="H1787" s="10" t="n">
        <v>5681</v>
      </c>
      <c r="I1787" s="11" t="inlineStr">
        <is>
          <t>Mr. Sydur Rahman</t>
        </is>
      </c>
      <c r="J1787" s="10">
        <f>IF(K1787&gt;0, "Completed", "Pending")</f>
        <v/>
      </c>
      <c r="K1787" s="10">
        <f>COUNTIF('Survey Responses'!F:F, F1787)</f>
        <v/>
      </c>
    </row>
    <row r="1788">
      <c r="A1788" s="10" t="n">
        <v>1787</v>
      </c>
      <c r="B1788" s="11" t="inlineStr">
        <is>
          <t>Sylhet-A (GEN-A)</t>
        </is>
      </c>
      <c r="C1788" s="11" t="inlineStr">
        <is>
          <t>Mr. Md. Salah Uddin Khan</t>
        </is>
      </c>
      <c r="D1788" s="11" t="inlineStr">
        <is>
          <t>Golapgonj GEN-A-1</t>
        </is>
      </c>
      <c r="E1788" s="11" t="inlineStr">
        <is>
          <t>Md. Chanchal Hossain</t>
        </is>
      </c>
      <c r="F1788" s="10" t="n">
        <v>12414</v>
      </c>
      <c r="G1788" s="11" t="inlineStr">
        <is>
          <t>Khanaighat-2</t>
        </is>
      </c>
      <c r="H1788" s="10" t="n">
        <v>973</v>
      </c>
      <c r="I1788" s="11" t="inlineStr">
        <is>
          <t>Md. Masud Rana</t>
        </is>
      </c>
      <c r="J1788" s="10">
        <f>IF(K1788&gt;0, "Completed", "Pending")</f>
        <v/>
      </c>
      <c r="K1788" s="10">
        <f>COUNTIF('Survey Responses'!F:F, F1788)</f>
        <v/>
      </c>
    </row>
    <row r="1789">
      <c r="A1789" s="10" t="n">
        <v>1788</v>
      </c>
      <c r="B1789" s="11" t="inlineStr">
        <is>
          <t>Sylhet-A (GEN-A)</t>
        </is>
      </c>
      <c r="C1789" s="11" t="inlineStr">
        <is>
          <t>Mr. Md. Salah Uddin Khan</t>
        </is>
      </c>
      <c r="D1789" s="11" t="inlineStr">
        <is>
          <t>Golapgonj GEN-A-1</t>
        </is>
      </c>
      <c r="E1789" s="11" t="inlineStr">
        <is>
          <t>Md. Chanchal Hossain</t>
        </is>
      </c>
      <c r="F1789" s="10" t="n">
        <v>10657</v>
      </c>
      <c r="G1789" s="11" t="inlineStr">
        <is>
          <t>Sylhet Shahporan-1</t>
        </is>
      </c>
      <c r="H1789" s="10" t="n">
        <v>1774</v>
      </c>
      <c r="I1789" s="11" t="inlineStr">
        <is>
          <t>Md. Mahanur Islam</t>
        </is>
      </c>
      <c r="J1789" s="10">
        <f>IF(K1789&gt;0, "Completed", "Pending")</f>
        <v/>
      </c>
      <c r="K1789" s="10">
        <f>COUNTIF('Survey Responses'!F:F, F1789)</f>
        <v/>
      </c>
    </row>
    <row r="1790">
      <c r="A1790" s="10" t="n">
        <v>1789</v>
      </c>
      <c r="B1790" s="11" t="inlineStr">
        <is>
          <t>Sylhet-A (GEN-A)</t>
        </is>
      </c>
      <c r="C1790" s="11" t="inlineStr">
        <is>
          <t>Mr. Md. Salah Uddin Khan</t>
        </is>
      </c>
      <c r="D1790" s="11" t="inlineStr">
        <is>
          <t>Golapgonj GEN-A-1</t>
        </is>
      </c>
      <c r="E1790" s="11" t="inlineStr">
        <is>
          <t>Md. Chanchal Hossain</t>
        </is>
      </c>
      <c r="F1790" s="10" t="n">
        <v>13180</v>
      </c>
      <c r="G1790" s="11" t="inlineStr">
        <is>
          <t>Sylhet Shahporan-2</t>
        </is>
      </c>
      <c r="H1790" s="10" t="n">
        <v>2390</v>
      </c>
      <c r="I1790" s="11" t="inlineStr">
        <is>
          <t>Md. Mamunur Rashid</t>
        </is>
      </c>
      <c r="J1790" s="10">
        <f>IF(K1790&gt;0, "Completed", "Pending")</f>
        <v/>
      </c>
      <c r="K1790" s="10">
        <f>COUNTIF('Survey Responses'!F:F, F1790)</f>
        <v/>
      </c>
    </row>
    <row r="1791">
      <c r="A1791" s="10" t="n">
        <v>1790</v>
      </c>
      <c r="B1791" s="11" t="inlineStr">
        <is>
          <t>Sylhet-A (GEN-A)</t>
        </is>
      </c>
      <c r="C1791" s="11" t="inlineStr">
        <is>
          <t>Mr. Md. Salah Uddin Khan</t>
        </is>
      </c>
      <c r="D1791" s="11" t="inlineStr">
        <is>
          <t>Sunamgonj GEN-A-1</t>
        </is>
      </c>
      <c r="E1791" s="11" t="inlineStr">
        <is>
          <t>Mr. Sanjit Kumar Debnath</t>
        </is>
      </c>
      <c r="F1791" s="10" t="n">
        <v>10639</v>
      </c>
      <c r="G1791" s="11" t="inlineStr">
        <is>
          <t>Derai-1</t>
        </is>
      </c>
      <c r="H1791" s="10" t="n">
        <v>1847</v>
      </c>
      <c r="I1791" s="11" t="inlineStr">
        <is>
          <t>Dilip Kumar Biswas</t>
        </is>
      </c>
      <c r="J1791" s="10">
        <f>IF(K1791&gt;0, "Completed", "Pending")</f>
        <v/>
      </c>
      <c r="K1791" s="10">
        <f>COUNTIF('Survey Responses'!F:F, F1791)</f>
        <v/>
      </c>
    </row>
    <row r="1792">
      <c r="A1792" s="10" t="n">
        <v>1791</v>
      </c>
      <c r="B1792" s="11" t="inlineStr">
        <is>
          <t>Sylhet-A (GEN-A)</t>
        </is>
      </c>
      <c r="C1792" s="11" t="inlineStr">
        <is>
          <t>Mr. Md. Salah Uddin Khan</t>
        </is>
      </c>
      <c r="D1792" s="11" t="inlineStr">
        <is>
          <t>Sunamgonj GEN-A-1</t>
        </is>
      </c>
      <c r="E1792" s="11" t="inlineStr">
        <is>
          <t>Mr. Sanjit Kumar Debnath</t>
        </is>
      </c>
      <c r="F1792" s="10" t="n">
        <v>12219</v>
      </c>
      <c r="G1792" s="11" t="inlineStr">
        <is>
          <t>Derai-2</t>
        </is>
      </c>
      <c r="H1792" s="10" t="n">
        <v>3599</v>
      </c>
      <c r="I1792" s="11" t="inlineStr">
        <is>
          <t>Mr. Md. Jahanur Rahman</t>
        </is>
      </c>
      <c r="J1792" s="10">
        <f>IF(K1792&gt;0, "Completed", "Pending")</f>
        <v/>
      </c>
      <c r="K1792" s="10">
        <f>COUNTIF('Survey Responses'!F:F, F1792)</f>
        <v/>
      </c>
    </row>
    <row r="1793">
      <c r="A1793" s="10" t="n">
        <v>1792</v>
      </c>
      <c r="B1793" s="11" t="inlineStr">
        <is>
          <t>Sylhet-A (GEN-A)</t>
        </is>
      </c>
      <c r="C1793" s="11" t="inlineStr">
        <is>
          <t>Mr. Md. Salah Uddin Khan</t>
        </is>
      </c>
      <c r="D1793" s="11" t="inlineStr">
        <is>
          <t>Sunamgonj GEN-A-1</t>
        </is>
      </c>
      <c r="E1793" s="11" t="inlineStr">
        <is>
          <t>Mr. Sanjit Kumar Debnath</t>
        </is>
      </c>
      <c r="F1793" s="10" t="n">
        <v>12947</v>
      </c>
      <c r="G1793" s="11" t="inlineStr">
        <is>
          <t>Jamalgonj-1</t>
        </is>
      </c>
      <c r="H1793" s="10" t="n">
        <v>5186</v>
      </c>
      <c r="I1793" s="11" t="inlineStr">
        <is>
          <t>Mr. Md. Golam Mostafa</t>
        </is>
      </c>
      <c r="J1793" s="10">
        <f>IF(K1793&gt;0, "Completed", "Pending")</f>
        <v/>
      </c>
      <c r="K1793" s="10">
        <f>COUNTIF('Survey Responses'!F:F, F1793)</f>
        <v/>
      </c>
    </row>
    <row r="1794">
      <c r="A1794" s="10" t="n">
        <v>1793</v>
      </c>
      <c r="B1794" s="11" t="inlineStr">
        <is>
          <t>Sylhet-A (GEN-A)</t>
        </is>
      </c>
      <c r="C1794" s="11" t="inlineStr">
        <is>
          <t>Mr. Md. Salah Uddin Khan</t>
        </is>
      </c>
      <c r="D1794" s="11" t="inlineStr">
        <is>
          <t>Sunamgonj GEN-A-1</t>
        </is>
      </c>
      <c r="E1794" s="11" t="inlineStr">
        <is>
          <t>Mr. Sanjit Kumar Debnath</t>
        </is>
      </c>
      <c r="F1794" s="10" t="n">
        <v>10637</v>
      </c>
      <c r="G1794" s="11" t="inlineStr">
        <is>
          <t>Sunamganj-1</t>
        </is>
      </c>
      <c r="H1794" s="10" t="n">
        <v>773</v>
      </c>
      <c r="I1794" s="11" t="inlineStr">
        <is>
          <t>Sudhangsu Kumar Biswas</t>
        </is>
      </c>
      <c r="J1794" s="10">
        <f>IF(K1794&gt;0, "Completed", "Pending")</f>
        <v/>
      </c>
      <c r="K1794" s="10">
        <f>COUNTIF('Survey Responses'!F:F, F1794)</f>
        <v/>
      </c>
    </row>
    <row r="1795">
      <c r="A1795" s="10" t="n">
        <v>1794</v>
      </c>
      <c r="B1795" s="11" t="inlineStr">
        <is>
          <t>Sylhet-A (GEN-A)</t>
        </is>
      </c>
      <c r="C1795" s="11" t="inlineStr">
        <is>
          <t>Mr. Md. Salah Uddin Khan</t>
        </is>
      </c>
      <c r="D1795" s="11" t="inlineStr">
        <is>
          <t>Sunamgonj GEN-A-1</t>
        </is>
      </c>
      <c r="E1795" s="11" t="inlineStr">
        <is>
          <t>Mr. Sanjit Kumar Debnath</t>
        </is>
      </c>
      <c r="F1795" s="10" t="n">
        <v>10636</v>
      </c>
      <c r="G1795" s="11" t="inlineStr">
        <is>
          <t>Sunamganj-2</t>
        </is>
      </c>
      <c r="H1795" s="10" t="n">
        <v>4188</v>
      </c>
      <c r="I1795" s="11" t="inlineStr">
        <is>
          <t>Mr. Md. Nazmul Huda</t>
        </is>
      </c>
      <c r="J1795" s="10">
        <f>IF(K1795&gt;0, "Completed", "Pending")</f>
        <v/>
      </c>
      <c r="K1795" s="10">
        <f>COUNTIF('Survey Responses'!F:F, F1795)</f>
        <v/>
      </c>
    </row>
    <row r="1796">
      <c r="A1796" s="10" t="n">
        <v>1795</v>
      </c>
      <c r="B1796" s="11" t="inlineStr">
        <is>
          <t>Sylhet-A (GEN-A)</t>
        </is>
      </c>
      <c r="C1796" s="11" t="inlineStr">
        <is>
          <t>Mr. Md. Salah Uddin Khan</t>
        </is>
      </c>
      <c r="D1796" s="11" t="inlineStr">
        <is>
          <t>Sunamgonj GEN-A-1</t>
        </is>
      </c>
      <c r="E1796" s="11" t="inlineStr">
        <is>
          <t>Mr. Sanjit Kumar Debnath</t>
        </is>
      </c>
      <c r="F1796" s="10" t="n">
        <v>10635</v>
      </c>
      <c r="G1796" s="11" t="inlineStr">
        <is>
          <t>Sunamganj-3</t>
        </is>
      </c>
      <c r="H1796" s="10" t="n">
        <v>1087</v>
      </c>
      <c r="I1796" s="11" t="inlineStr">
        <is>
          <t>Md. Emdadul Haque</t>
        </is>
      </c>
      <c r="J1796" s="10">
        <f>IF(K1796&gt;0, "Completed", "Pending")</f>
        <v/>
      </c>
      <c r="K1796" s="10">
        <f>COUNTIF('Survey Responses'!F:F, F1796)</f>
        <v/>
      </c>
    </row>
    <row r="1797">
      <c r="A1797" s="10" t="n">
        <v>1796</v>
      </c>
      <c r="B1797" s="11" t="inlineStr">
        <is>
          <t>Sylhet-A (GEN-A)</t>
        </is>
      </c>
      <c r="C1797" s="11" t="inlineStr">
        <is>
          <t>Mr. Md. Salah Uddin Khan</t>
        </is>
      </c>
      <c r="D1797" s="11" t="inlineStr">
        <is>
          <t>Sunamgonj GEN-A-1</t>
        </is>
      </c>
      <c r="E1797" s="11" t="inlineStr">
        <is>
          <t>Mr. Sanjit Kumar Debnath</t>
        </is>
      </c>
      <c r="F1797" s="10" t="n">
        <v>14537</v>
      </c>
      <c r="G1797" s="11" t="inlineStr">
        <is>
          <t>Sunamganj-4</t>
        </is>
      </c>
      <c r="H1797" s="10" t="n">
        <v>7579</v>
      </c>
      <c r="I1797" s="11" t="inlineStr">
        <is>
          <t>Mr. Maksodur Rahman</t>
        </is>
      </c>
      <c r="J1797" s="10">
        <f>IF(K1797&gt;0, "Completed", "Pending")</f>
        <v/>
      </c>
      <c r="K1797" s="10">
        <f>COUNTIF('Survey Responses'!F:F, F1797)</f>
        <v/>
      </c>
    </row>
    <row r="1798">
      <c r="A1798" s="10" t="n">
        <v>1797</v>
      </c>
      <c r="B1798" s="11" t="inlineStr">
        <is>
          <t>Sylhet-A (GEN-A)</t>
        </is>
      </c>
      <c r="C1798" s="11" t="inlineStr">
        <is>
          <t>Mr. Md. Salah Uddin Khan</t>
        </is>
      </c>
      <c r="D1798" s="11" t="inlineStr">
        <is>
          <t>Sunamgonj GEN-A-1</t>
        </is>
      </c>
      <c r="E1798" s="11" t="inlineStr">
        <is>
          <t>Mr. Sanjit Kumar Debnath</t>
        </is>
      </c>
      <c r="F1798" s="10" t="n">
        <v>10640</v>
      </c>
      <c r="G1798" s="11" t="inlineStr">
        <is>
          <t>Tahirpur</t>
        </is>
      </c>
      <c r="H1798" s="10" t="n">
        <v>1848</v>
      </c>
      <c r="I1798" s="11" t="inlineStr">
        <is>
          <t>Md. Selim Ahmed</t>
        </is>
      </c>
      <c r="J1798" s="10">
        <f>IF(K1798&gt;0, "Completed", "Pending")</f>
        <v/>
      </c>
      <c r="K1798" s="10">
        <f>COUNTIF('Survey Responses'!F:F, F1798)</f>
        <v/>
      </c>
    </row>
    <row r="1799">
      <c r="A1799" s="10" t="n">
        <v>1798</v>
      </c>
      <c r="B1799" s="11" t="inlineStr">
        <is>
          <t>Sylhet-A (GEN-A)</t>
        </is>
      </c>
      <c r="C1799" s="11" t="inlineStr">
        <is>
          <t>Mr. Md. Salah Uddin Khan</t>
        </is>
      </c>
      <c r="D1799" s="11" t="inlineStr">
        <is>
          <t>Sylhet GEN-A-1</t>
        </is>
      </c>
      <c r="E1799" s="11" t="inlineStr">
        <is>
          <t>Mr. Md. Golam Sarwar</t>
        </is>
      </c>
      <c r="F1799" s="10" t="n">
        <v>10633</v>
      </c>
      <c r="G1799" s="11" t="inlineStr">
        <is>
          <t>Chattak-1</t>
        </is>
      </c>
      <c r="H1799" s="10" t="n">
        <v>1287</v>
      </c>
      <c r="I1799" s="11" t="inlineStr">
        <is>
          <t>Subash Chandra Sarker</t>
        </is>
      </c>
      <c r="J1799" s="10">
        <f>IF(K1799&gt;0, "Completed", "Pending")</f>
        <v/>
      </c>
      <c r="K1799" s="10">
        <f>COUNTIF('Survey Responses'!F:F, F1799)</f>
        <v/>
      </c>
    </row>
    <row r="1800">
      <c r="A1800" s="10" t="n">
        <v>1799</v>
      </c>
      <c r="B1800" s="11" t="inlineStr">
        <is>
          <t>Sylhet-A (GEN-A)</t>
        </is>
      </c>
      <c r="C1800" s="11" t="inlineStr">
        <is>
          <t>Mr. Md. Salah Uddin Khan</t>
        </is>
      </c>
      <c r="D1800" s="11" t="inlineStr">
        <is>
          <t>Sylhet GEN-A-1</t>
        </is>
      </c>
      <c r="E1800" s="11" t="inlineStr">
        <is>
          <t>Mr. Md. Golam Sarwar</t>
        </is>
      </c>
      <c r="F1800" s="10" t="n">
        <v>10634</v>
      </c>
      <c r="G1800" s="11" t="inlineStr">
        <is>
          <t>Chattak-2</t>
        </is>
      </c>
      <c r="H1800" s="10" t="n">
        <v>5679</v>
      </c>
      <c r="I1800" s="11" t="inlineStr">
        <is>
          <t>Mr. Md. Mosikur Rahaman</t>
        </is>
      </c>
      <c r="J1800" s="10">
        <f>IF(K1800&gt;0, "Completed", "Pending")</f>
        <v/>
      </c>
      <c r="K1800" s="10">
        <f>COUNTIF('Survey Responses'!F:F, F1800)</f>
        <v/>
      </c>
    </row>
    <row r="1801">
      <c r="A1801" s="10" t="n">
        <v>1800</v>
      </c>
      <c r="B1801" s="11" t="inlineStr">
        <is>
          <t>Sylhet-A (GEN-A)</t>
        </is>
      </c>
      <c r="C1801" s="11" t="inlineStr">
        <is>
          <t>Mr. Md. Salah Uddin Khan</t>
        </is>
      </c>
      <c r="D1801" s="11" t="inlineStr">
        <is>
          <t>Sylhet GEN-A-1</t>
        </is>
      </c>
      <c r="E1801" s="11" t="inlineStr">
        <is>
          <t>Mr. Md. Golam Sarwar</t>
        </is>
      </c>
      <c r="F1801" s="10" t="n">
        <v>14540</v>
      </c>
      <c r="G1801" s="11" t="inlineStr">
        <is>
          <t>SOMCH-2</t>
        </is>
      </c>
      <c r="H1801" s="10" t="n">
        <v>8298</v>
      </c>
      <c r="I1801" s="11" t="inlineStr">
        <is>
          <t>Mr. Golam Bayejid</t>
        </is>
      </c>
      <c r="J1801" s="10">
        <f>IF(K1801&gt;0, "Completed", "Pending")</f>
        <v/>
      </c>
      <c r="K1801" s="10">
        <f>COUNTIF('Survey Responses'!F:F, F1801)</f>
        <v/>
      </c>
    </row>
    <row r="1802">
      <c r="A1802" s="10" t="n">
        <v>1801</v>
      </c>
      <c r="B1802" s="11" t="inlineStr">
        <is>
          <t>Sylhet-A (GEN-A)</t>
        </is>
      </c>
      <c r="C1802" s="11" t="inlineStr">
        <is>
          <t>Mr. Md. Salah Uddin Khan</t>
        </is>
      </c>
      <c r="D1802" s="11" t="inlineStr">
        <is>
          <t>Sylhet GEN-A-1</t>
        </is>
      </c>
      <c r="E1802" s="11" t="inlineStr">
        <is>
          <t>Mr. Md. Golam Sarwar</t>
        </is>
      </c>
      <c r="F1802" s="10" t="n">
        <v>10620</v>
      </c>
      <c r="G1802" s="11" t="inlineStr">
        <is>
          <t>Sylhet (Chowhatta)</t>
        </is>
      </c>
      <c r="H1802" s="10" t="n">
        <v>5815</v>
      </c>
      <c r="I1802" s="11" t="inlineStr">
        <is>
          <t>Mr. Hasibul Islam</t>
        </is>
      </c>
      <c r="J1802" s="10">
        <f>IF(K1802&gt;0, "Completed", "Pending")</f>
        <v/>
      </c>
      <c r="K1802" s="10">
        <f>COUNTIF('Survey Responses'!F:F, F1802)</f>
        <v/>
      </c>
    </row>
    <row r="1803">
      <c r="A1803" s="10" t="n">
        <v>1802</v>
      </c>
      <c r="B1803" s="11" t="inlineStr">
        <is>
          <t>Sylhet-A (GEN-A)</t>
        </is>
      </c>
      <c r="C1803" s="11" t="inlineStr">
        <is>
          <t>Mr. Md. Salah Uddin Khan</t>
        </is>
      </c>
      <c r="D1803" s="11" t="inlineStr">
        <is>
          <t>Sylhet GEN-A-1</t>
        </is>
      </c>
      <c r="E1803" s="11" t="inlineStr">
        <is>
          <t>Mr. Md. Golam Sarwar</t>
        </is>
      </c>
      <c r="F1803" s="10" t="n">
        <v>10623</v>
      </c>
      <c r="G1803" s="11" t="inlineStr">
        <is>
          <t>Sylhet (Medinova)</t>
        </is>
      </c>
      <c r="H1803" s="10" t="n">
        <v>6323</v>
      </c>
      <c r="I1803" s="11" t="inlineStr">
        <is>
          <t>Mr. Rupak Roy</t>
        </is>
      </c>
      <c r="J1803" s="10">
        <f>IF(K1803&gt;0, "Completed", "Pending")</f>
        <v/>
      </c>
      <c r="K1803" s="10">
        <f>COUNTIF('Survey Responses'!F:F, F1803)</f>
        <v/>
      </c>
    </row>
    <row r="1804">
      <c r="A1804" s="10" t="n">
        <v>1803</v>
      </c>
      <c r="B1804" s="11" t="inlineStr">
        <is>
          <t>Sylhet-A (GEN-A)</t>
        </is>
      </c>
      <c r="C1804" s="11" t="inlineStr">
        <is>
          <t>Mr. Md. Salah Uddin Khan</t>
        </is>
      </c>
      <c r="D1804" s="11" t="inlineStr">
        <is>
          <t>Sylhet GEN-A-1</t>
        </is>
      </c>
      <c r="E1804" s="11" t="inlineStr">
        <is>
          <t>Mr. Md. Golam Sarwar</t>
        </is>
      </c>
      <c r="F1804" s="10" t="n">
        <v>10619</v>
      </c>
      <c r="G1804" s="11" t="inlineStr">
        <is>
          <t>Sylhet (W/M)-1</t>
        </is>
      </c>
      <c r="H1804" s="10" t="n">
        <v>1920</v>
      </c>
      <c r="I1804" s="11" t="inlineStr">
        <is>
          <t>Tofazzal Hossain</t>
        </is>
      </c>
      <c r="J1804" s="10">
        <f>IF(K1804&gt;0, "Completed", "Pending")</f>
        <v/>
      </c>
      <c r="K1804" s="10">
        <f>COUNTIF('Survey Responses'!F:F, F1804)</f>
        <v/>
      </c>
    </row>
    <row r="1805">
      <c r="A1805" s="10" t="n">
        <v>1804</v>
      </c>
      <c r="B1805" s="11" t="inlineStr">
        <is>
          <t>Sylhet-A (GEN-A)</t>
        </is>
      </c>
      <c r="C1805" s="11" t="inlineStr">
        <is>
          <t>Mr. Md. Salah Uddin Khan</t>
        </is>
      </c>
      <c r="D1805" s="11" t="inlineStr">
        <is>
          <t>Sylhet GEN-A-1</t>
        </is>
      </c>
      <c r="E1805" s="11" t="inlineStr">
        <is>
          <t>Mr. Md. Golam Sarwar</t>
        </is>
      </c>
      <c r="F1805" s="10" t="n">
        <v>10624</v>
      </c>
      <c r="G1805" s="11" t="inlineStr">
        <is>
          <t>Sylhet (W/M)-2</t>
        </is>
      </c>
      <c r="H1805" s="10" t="n">
        <v>1342</v>
      </c>
      <c r="I1805" s="11" t="inlineStr">
        <is>
          <t>Firoj Ali</t>
        </is>
      </c>
      <c r="J1805" s="10">
        <f>IF(K1805&gt;0, "Completed", "Pending")</f>
        <v/>
      </c>
      <c r="K1805" s="10">
        <f>COUNTIF('Survey Responses'!F:F, F1805)</f>
        <v/>
      </c>
    </row>
    <row r="1806">
      <c r="A1806" s="10" t="n">
        <v>1805</v>
      </c>
      <c r="B1806" s="11" t="inlineStr">
        <is>
          <t>Sylhet-A (GEN-A)</t>
        </is>
      </c>
      <c r="C1806" s="11" t="inlineStr">
        <is>
          <t>Mr. Md. Salah Uddin Khan</t>
        </is>
      </c>
      <c r="D1806" s="11" t="inlineStr">
        <is>
          <t>Sylhet GEN-A-1</t>
        </is>
      </c>
      <c r="E1806" s="11" t="inlineStr">
        <is>
          <t>Mr. Md. Golam Sarwar</t>
        </is>
      </c>
      <c r="F1806" s="10" t="n">
        <v>12675</v>
      </c>
      <c r="G1806" s="11" t="inlineStr">
        <is>
          <t>Sylhet (W/M)-3</t>
        </is>
      </c>
      <c r="H1806" s="10" t="n">
        <v>5005</v>
      </c>
      <c r="I1806" s="11" t="inlineStr">
        <is>
          <t>Mr. Rashedul Islam</t>
        </is>
      </c>
      <c r="J1806" s="10">
        <f>IF(K1806&gt;0, "Completed", "Pending")</f>
        <v/>
      </c>
      <c r="K1806" s="10">
        <f>COUNTIF('Survey Responses'!F:F, F1806)</f>
        <v/>
      </c>
    </row>
    <row r="1807">
      <c r="A1807" s="10" t="n">
        <v>1806</v>
      </c>
      <c r="B1807" s="11" t="inlineStr">
        <is>
          <t>Sylhet-A (GEN-A)</t>
        </is>
      </c>
      <c r="C1807" s="11" t="inlineStr">
        <is>
          <t>Mr. Md. Salah Uddin Khan</t>
        </is>
      </c>
      <c r="D1807" s="11" t="inlineStr">
        <is>
          <t>Sylhet GEN-A-3</t>
        </is>
      </c>
      <c r="E1807" s="11" t="inlineStr">
        <is>
          <t>Mr. Asraf Kabir</t>
        </is>
      </c>
      <c r="F1807" s="10" t="n">
        <v>10664</v>
      </c>
      <c r="G1807" s="11" t="inlineStr">
        <is>
          <t xml:space="preserve">Jointa </t>
        </is>
      </c>
      <c r="H1807" s="10" t="n">
        <v>1548</v>
      </c>
      <c r="I1807" s="11" t="inlineStr">
        <is>
          <t>Md. Firoz Miah</t>
        </is>
      </c>
      <c r="J1807" s="10">
        <f>IF(K1807&gt;0, "Completed", "Pending")</f>
        <v/>
      </c>
      <c r="K1807" s="10">
        <f>COUNTIF('Survey Responses'!F:F, F1807)</f>
        <v/>
      </c>
    </row>
    <row r="1808">
      <c r="A1808" s="10" t="n">
        <v>1807</v>
      </c>
      <c r="B1808" s="11" t="inlineStr">
        <is>
          <t>Sylhet-A (GEN-A)</t>
        </is>
      </c>
      <c r="C1808" s="11" t="inlineStr">
        <is>
          <t>Mr. Md. Salah Uddin Khan</t>
        </is>
      </c>
      <c r="D1808" s="11" t="inlineStr">
        <is>
          <t>Sylhet GEN-A-3</t>
        </is>
      </c>
      <c r="E1808" s="11" t="inlineStr">
        <is>
          <t>Mr. Asraf Kabir</t>
        </is>
      </c>
      <c r="F1808" s="10" t="n">
        <v>10660</v>
      </c>
      <c r="G1808" s="11" t="inlineStr">
        <is>
          <t>Sylhet Ibnsina-1</t>
        </is>
      </c>
      <c r="H1808" s="10" t="n">
        <v>928</v>
      </c>
      <c r="I1808" s="11" t="inlineStr">
        <is>
          <t>Md. Razib Uddin</t>
        </is>
      </c>
      <c r="J1808" s="10">
        <f>IF(K1808&gt;0, "Completed", "Pending")</f>
        <v/>
      </c>
      <c r="K1808" s="10">
        <f>COUNTIF('Survey Responses'!F:F, F1808)</f>
        <v/>
      </c>
    </row>
    <row r="1809">
      <c r="A1809" s="10" t="n">
        <v>1808</v>
      </c>
      <c r="B1809" s="11" t="inlineStr">
        <is>
          <t>Sylhet-A (GEN-A)</t>
        </is>
      </c>
      <c r="C1809" s="11" t="inlineStr">
        <is>
          <t>Mr. Md. Salah Uddin Khan</t>
        </is>
      </c>
      <c r="D1809" s="11" t="inlineStr">
        <is>
          <t>Sylhet GEN-A-3</t>
        </is>
      </c>
      <c r="E1809" s="11" t="inlineStr">
        <is>
          <t>Mr. Asraf Kabir</t>
        </is>
      </c>
      <c r="F1809" s="10" t="n">
        <v>10661</v>
      </c>
      <c r="G1809" s="11" t="inlineStr">
        <is>
          <t>Sylhet Ibnsina-2</t>
        </is>
      </c>
      <c r="H1809" s="10" t="n">
        <v>6961</v>
      </c>
      <c r="I1809" s="11" t="inlineStr">
        <is>
          <t>Mr. Md. Eamin</t>
        </is>
      </c>
      <c r="J1809" s="10">
        <f>IF(K1809&gt;0, "Completed", "Pending")</f>
        <v/>
      </c>
      <c r="K1809" s="10">
        <f>COUNTIF('Survey Responses'!F:F, F1809)</f>
        <v/>
      </c>
    </row>
    <row r="1810">
      <c r="A1810" s="10" t="n">
        <v>1809</v>
      </c>
      <c r="B1810" s="11" t="inlineStr">
        <is>
          <t>Sylhet-A (GEN-A)</t>
        </is>
      </c>
      <c r="C1810" s="11" t="inlineStr">
        <is>
          <t>Mr. Md. Salah Uddin Khan</t>
        </is>
      </c>
      <c r="D1810" s="11" t="inlineStr">
        <is>
          <t>Sylhet GEN-A-3</t>
        </is>
      </c>
      <c r="E1810" s="11" t="inlineStr">
        <is>
          <t>Mr. Asraf Kabir</t>
        </is>
      </c>
      <c r="F1810" s="10" t="n">
        <v>13504</v>
      </c>
      <c r="G1810" s="11" t="inlineStr">
        <is>
          <t xml:space="preserve">Sylhet Ibnsina-3  </t>
        </is>
      </c>
      <c r="H1810" s="10" t="n">
        <v>7123</v>
      </c>
      <c r="I1810" s="11" t="inlineStr">
        <is>
          <t>Mr. Amir Hossen</t>
        </is>
      </c>
      <c r="J1810" s="10">
        <f>IF(K1810&gt;0, "Completed", "Pending")</f>
        <v/>
      </c>
      <c r="K1810" s="10">
        <f>COUNTIF('Survey Responses'!F:F, F1810)</f>
        <v/>
      </c>
    </row>
    <row r="1811">
      <c r="A1811" s="10" t="n">
        <v>1810</v>
      </c>
      <c r="B1811" s="11" t="inlineStr">
        <is>
          <t>Sylhet-A (GEN-A)</t>
        </is>
      </c>
      <c r="C1811" s="11" t="inlineStr">
        <is>
          <t>Mr. Md. Salah Uddin Khan</t>
        </is>
      </c>
      <c r="D1811" s="11" t="inlineStr">
        <is>
          <t>Sylhet GEN-A-3</t>
        </is>
      </c>
      <c r="E1811" s="11" t="inlineStr">
        <is>
          <t>Mr. Asraf Kabir</t>
        </is>
      </c>
      <c r="F1811" s="10" t="n">
        <v>10663</v>
      </c>
      <c r="G1811" s="11" t="inlineStr">
        <is>
          <t>Sylhet Stadium-1</t>
        </is>
      </c>
      <c r="H1811" s="10" t="n">
        <v>6383</v>
      </c>
      <c r="I1811" s="11" t="inlineStr">
        <is>
          <t>Mr. Md. Rafiul Islam</t>
        </is>
      </c>
      <c r="J1811" s="10">
        <f>IF(K1811&gt;0, "Completed", "Pending")</f>
        <v/>
      </c>
      <c r="K1811" s="10">
        <f>COUNTIF('Survey Responses'!F:F, F1811)</f>
        <v/>
      </c>
    </row>
    <row r="1812">
      <c r="A1812" s="10" t="n">
        <v>1811</v>
      </c>
      <c r="B1812" s="11" t="inlineStr">
        <is>
          <t>Sylhet-A (GEN-A)</t>
        </is>
      </c>
      <c r="C1812" s="11" t="inlineStr">
        <is>
          <t>Mr. Md. Salah Uddin Khan</t>
        </is>
      </c>
      <c r="D1812" s="11" t="inlineStr">
        <is>
          <t>Sylhet GEN-A-3</t>
        </is>
      </c>
      <c r="E1812" s="11" t="inlineStr">
        <is>
          <t>Mr. Asraf Kabir</t>
        </is>
      </c>
      <c r="F1812" s="10" t="n">
        <v>10665</v>
      </c>
      <c r="G1812" s="11" t="inlineStr">
        <is>
          <t>Sylhet Stadium-2</t>
        </is>
      </c>
      <c r="H1812" s="10" t="n">
        <v>5978</v>
      </c>
      <c r="I1812" s="11" t="inlineStr">
        <is>
          <t>Md. Lablu Hossain Laku</t>
        </is>
      </c>
      <c r="J1812" s="10">
        <f>IF(K1812&gt;0, "Completed", "Pending")</f>
        <v/>
      </c>
      <c r="K1812" s="10">
        <f>COUNTIF('Survey Responses'!F:F, F1812)</f>
        <v/>
      </c>
    </row>
    <row r="1813">
      <c r="A1813" s="10" t="n">
        <v>1812</v>
      </c>
      <c r="B1813" s="11" t="inlineStr">
        <is>
          <t>Sylhet-A (GEN-A)</t>
        </is>
      </c>
      <c r="C1813" s="11" t="inlineStr">
        <is>
          <t>Mr. Md. Salah Uddin Khan</t>
        </is>
      </c>
      <c r="D1813" s="11" t="inlineStr">
        <is>
          <t>Sylhet GEN-A-3</t>
        </is>
      </c>
      <c r="E1813" s="11" t="inlineStr">
        <is>
          <t>Mr. Asraf Kabir</t>
        </is>
      </c>
      <c r="F1813" s="10" t="n">
        <v>10662</v>
      </c>
      <c r="G1813" s="11" t="inlineStr">
        <is>
          <t>Sylhet Stadium-3</t>
        </is>
      </c>
      <c r="H1813" s="10" t="n">
        <v>1317</v>
      </c>
      <c r="I1813" s="11" t="inlineStr">
        <is>
          <t>Md. Shohel Rana</t>
        </is>
      </c>
      <c r="J1813" s="10">
        <f>IF(K1813&gt;0, "Completed", "Pending")</f>
        <v/>
      </c>
      <c r="K1813" s="10">
        <f>COUNTIF('Survey Responses'!F:F, F1813)</f>
        <v/>
      </c>
    </row>
    <row r="1814">
      <c r="A1814" s="10" t="n">
        <v>1813</v>
      </c>
      <c r="B1814" s="11" t="inlineStr">
        <is>
          <t>Sylhet-A (GEN-A)</t>
        </is>
      </c>
      <c r="C1814" s="11" t="inlineStr">
        <is>
          <t>Mr. Md. Salah Uddin Khan</t>
        </is>
      </c>
      <c r="D1814" s="11" t="inlineStr">
        <is>
          <t>Sylhet GEN-A-3</t>
        </is>
      </c>
      <c r="E1814" s="11" t="inlineStr">
        <is>
          <t>Mr. Asraf Kabir</t>
        </is>
      </c>
      <c r="F1814" s="10" t="n">
        <v>10659</v>
      </c>
      <c r="G1814" s="11" t="inlineStr">
        <is>
          <t>Sylhet Stadium-4</t>
        </is>
      </c>
      <c r="H1814" s="10" t="n">
        <v>5672</v>
      </c>
      <c r="I1814" s="11" t="inlineStr">
        <is>
          <t>Mr. Md. Motalib Hossain</t>
        </is>
      </c>
      <c r="J1814" s="10">
        <f>IF(K1814&gt;0, "Completed", "Pending")</f>
        <v/>
      </c>
      <c r="K1814" s="10">
        <f>COUNTIF('Survey Responses'!F:F, F1814)</f>
        <v/>
      </c>
    </row>
    <row r="1815">
      <c r="A1815" s="10" t="n">
        <v>1814</v>
      </c>
      <c r="B1815" s="11" t="inlineStr">
        <is>
          <t>Sylhet-A (GEN-A)</t>
        </is>
      </c>
      <c r="C1815" s="11" t="inlineStr">
        <is>
          <t>Mr. Md. Salah Uddin Khan</t>
        </is>
      </c>
      <c r="D1815" s="11" t="inlineStr">
        <is>
          <t>Sylhet GEN-A-5</t>
        </is>
      </c>
      <c r="E1815" s="11" t="inlineStr">
        <is>
          <t>Md. Jakiul Islam</t>
        </is>
      </c>
      <c r="F1815" s="10" t="n">
        <v>12058</v>
      </c>
      <c r="G1815" s="11" t="inlineStr">
        <is>
          <t>Gobindogonj</t>
        </is>
      </c>
      <c r="H1815" s="10" t="n">
        <v>909</v>
      </c>
      <c r="I1815" s="11" t="inlineStr">
        <is>
          <t>Md. Sujat Ali</t>
        </is>
      </c>
      <c r="J1815" s="10">
        <f>IF(K1815&gt;0, "Completed", "Pending")</f>
        <v/>
      </c>
      <c r="K1815" s="10">
        <f>COUNTIF('Survey Responses'!F:F, F1815)</f>
        <v/>
      </c>
    </row>
    <row r="1816">
      <c r="A1816" s="10" t="n">
        <v>1815</v>
      </c>
      <c r="B1816" s="11" t="inlineStr">
        <is>
          <t>Sylhet-A (GEN-A)</t>
        </is>
      </c>
      <c r="C1816" s="11" t="inlineStr">
        <is>
          <t>Mr. Md. Salah Uddin Khan</t>
        </is>
      </c>
      <c r="D1816" s="11" t="inlineStr">
        <is>
          <t>Sylhet GEN-A-5</t>
        </is>
      </c>
      <c r="E1816" s="11" t="inlineStr">
        <is>
          <t>Md. Jakiul Islam</t>
        </is>
      </c>
      <c r="F1816" s="10" t="n">
        <v>10638</v>
      </c>
      <c r="G1816" s="11" t="inlineStr">
        <is>
          <t>Jowa Bazar</t>
        </is>
      </c>
      <c r="H1816" s="10" t="n">
        <v>1379</v>
      </c>
      <c r="I1816" s="11" t="inlineStr">
        <is>
          <t>Md. Rokibul Islam</t>
        </is>
      </c>
      <c r="J1816" s="10">
        <f>IF(K1816&gt;0, "Completed", "Pending")</f>
        <v/>
      </c>
      <c r="K1816" s="10">
        <f>COUNTIF('Survey Responses'!F:F, F1816)</f>
        <v/>
      </c>
    </row>
    <row r="1817">
      <c r="A1817" s="10" t="n">
        <v>1816</v>
      </c>
      <c r="B1817" s="11" t="inlineStr">
        <is>
          <t>Sylhet-A (GEN-A)</t>
        </is>
      </c>
      <c r="C1817" s="11" t="inlineStr">
        <is>
          <t>Mr. Md. Salah Uddin Khan</t>
        </is>
      </c>
      <c r="D1817" s="11" t="inlineStr">
        <is>
          <t>Sylhet GEN-A-5</t>
        </is>
      </c>
      <c r="E1817" s="11" t="inlineStr">
        <is>
          <t>Md. Jakiul Islam</t>
        </is>
      </c>
      <c r="F1817" s="10" t="n">
        <v>13128</v>
      </c>
      <c r="G1817" s="11" t="inlineStr">
        <is>
          <t>Jowa Bazar-2</t>
        </is>
      </c>
      <c r="H1817" s="10" t="n">
        <v>5734</v>
      </c>
      <c r="I1817" s="11" t="inlineStr">
        <is>
          <t>Mr. Motaleb Hossain</t>
        </is>
      </c>
      <c r="J1817" s="10">
        <f>IF(K1817&gt;0, "Completed", "Pending")</f>
        <v/>
      </c>
      <c r="K1817" s="10">
        <f>COUNTIF('Survey Responses'!F:F, F1817)</f>
        <v/>
      </c>
    </row>
    <row r="1818">
      <c r="A1818" s="10" t="n">
        <v>1817</v>
      </c>
      <c r="B1818" s="11" t="inlineStr">
        <is>
          <t>Sylhet-A (GEN-A)</t>
        </is>
      </c>
      <c r="C1818" s="11" t="inlineStr">
        <is>
          <t>Mr. Md. Salah Uddin Khan</t>
        </is>
      </c>
      <c r="D1818" s="11" t="inlineStr">
        <is>
          <t>Sylhet GEN-A-5</t>
        </is>
      </c>
      <c r="E1818" s="11" t="inlineStr">
        <is>
          <t>Md. Jakiul Islam</t>
        </is>
      </c>
      <c r="F1818" s="10" t="n">
        <v>10628</v>
      </c>
      <c r="G1818" s="11" t="inlineStr">
        <is>
          <t>Oasis Hospital</t>
        </is>
      </c>
      <c r="H1818" s="10" t="n">
        <v>1013</v>
      </c>
      <c r="I1818" s="11" t="inlineStr">
        <is>
          <t>Md. Kamal Hossain</t>
        </is>
      </c>
      <c r="J1818" s="10">
        <f>IF(K1818&gt;0, "Completed", "Pending")</f>
        <v/>
      </c>
      <c r="K1818" s="10">
        <f>COUNTIF('Survey Responses'!F:F, F1818)</f>
        <v/>
      </c>
    </row>
    <row r="1819">
      <c r="A1819" s="10" t="n">
        <v>1818</v>
      </c>
      <c r="B1819" s="11" t="inlineStr">
        <is>
          <t>Sylhet-A (GEN-A)</t>
        </is>
      </c>
      <c r="C1819" s="11" t="inlineStr">
        <is>
          <t>Mr. Md. Salah Uddin Khan</t>
        </is>
      </c>
      <c r="D1819" s="11" t="inlineStr">
        <is>
          <t>Sylhet GEN-A-5</t>
        </is>
      </c>
      <c r="E1819" s="11" t="inlineStr">
        <is>
          <t>Md. Jakiul Islam</t>
        </is>
      </c>
      <c r="F1819" s="10" t="n">
        <v>10632</v>
      </c>
      <c r="G1819" s="11" t="inlineStr">
        <is>
          <t>Sylhet (Lamabazar)</t>
        </is>
      </c>
      <c r="H1819" s="10" t="n">
        <v>8784</v>
      </c>
      <c r="I1819" s="11" t="inlineStr">
        <is>
          <t>Mr. Shaiful Islam Shona</t>
        </is>
      </c>
      <c r="J1819" s="10">
        <f>IF(K1819&gt;0, "Completed", "Pending")</f>
        <v/>
      </c>
      <c r="K1819" s="10">
        <f>COUNTIF('Survey Responses'!F:F, F1819)</f>
        <v/>
      </c>
    </row>
    <row r="1820">
      <c r="A1820" s="10" t="n">
        <v>1819</v>
      </c>
      <c r="B1820" s="11" t="inlineStr">
        <is>
          <t>Sylhet-A (GEN-A)</t>
        </is>
      </c>
      <c r="C1820" s="11" t="inlineStr">
        <is>
          <t>Mr. Md. Salah Uddin Khan</t>
        </is>
      </c>
      <c r="D1820" s="11" t="inlineStr">
        <is>
          <t>Sylhet GEN-A-5</t>
        </is>
      </c>
      <c r="E1820" s="11" t="inlineStr">
        <is>
          <t>Md. Jakiul Islam</t>
        </is>
      </c>
      <c r="F1820" s="10" t="n">
        <v>13615</v>
      </c>
      <c r="G1820" s="11" t="inlineStr">
        <is>
          <t>Sylhet (Ma O Shishu Hosp.)-1</t>
        </is>
      </c>
      <c r="H1820" s="10" t="n">
        <v>7224</v>
      </c>
      <c r="I1820" s="11" t="inlineStr">
        <is>
          <t>Mr. Md. Mehedi Hasan</t>
        </is>
      </c>
      <c r="J1820" s="10">
        <f>IF(K1820&gt;0, "Completed", "Pending")</f>
        <v/>
      </c>
      <c r="K1820" s="10">
        <f>COUNTIF('Survey Responses'!F:F, F1820)</f>
        <v/>
      </c>
    </row>
    <row r="1821">
      <c r="A1821" s="10" t="n">
        <v>1820</v>
      </c>
      <c r="B1821" s="11" t="inlineStr">
        <is>
          <t>Sylhet-A (GEN-A)</t>
        </is>
      </c>
      <c r="C1821" s="11" t="inlineStr">
        <is>
          <t>Mr. Md. Salah Uddin Khan</t>
        </is>
      </c>
      <c r="D1821" s="11" t="inlineStr">
        <is>
          <t>Sylhet GEN-A-5</t>
        </is>
      </c>
      <c r="E1821" s="11" t="inlineStr">
        <is>
          <t>Md. Jakiul Islam</t>
        </is>
      </c>
      <c r="F1821" s="10" t="n">
        <v>10629</v>
      </c>
      <c r="G1821" s="11" t="inlineStr">
        <is>
          <t>Sylhet (Trust Medical)</t>
        </is>
      </c>
      <c r="H1821" s="10" t="n">
        <v>8985</v>
      </c>
      <c r="I1821" s="11" t="inlineStr">
        <is>
          <t>Mr. Md. Bayezid Islam</t>
        </is>
      </c>
      <c r="J1821" s="10">
        <f>IF(K1821&gt;0, "Completed", "Pending")</f>
        <v/>
      </c>
      <c r="K1821" s="10">
        <f>COUNTIF('Survey Responses'!F:F, F1821)</f>
        <v/>
      </c>
    </row>
    <row r="1822">
      <c r="A1822" s="10" t="n">
        <v>1821</v>
      </c>
      <c r="B1822" s="11" t="inlineStr">
        <is>
          <t>Sylhet-A (GEN-A)</t>
        </is>
      </c>
      <c r="C1822" s="11" t="inlineStr">
        <is>
          <t>Mr. Md. Salah Uddin Khan</t>
        </is>
      </c>
      <c r="D1822" s="11" t="inlineStr">
        <is>
          <t>Sylhet GEN-A-5</t>
        </is>
      </c>
      <c r="E1822" s="11" t="inlineStr">
        <is>
          <t>Md. Jakiul Islam</t>
        </is>
      </c>
      <c r="F1822" s="10" t="n">
        <v>10626</v>
      </c>
      <c r="G1822" s="11" t="inlineStr">
        <is>
          <t>Sylhet Popular-1</t>
        </is>
      </c>
      <c r="H1822" s="10" t="n">
        <v>3189</v>
      </c>
      <c r="I1822" s="11" t="inlineStr">
        <is>
          <t>Mr. Md. Tanzidul Islam</t>
        </is>
      </c>
      <c r="J1822" s="10">
        <f>IF(K1822&gt;0, "Completed", "Pending")</f>
        <v/>
      </c>
      <c r="K1822" s="10">
        <f>COUNTIF('Survey Responses'!F:F, F1822)</f>
        <v/>
      </c>
    </row>
    <row r="1823">
      <c r="A1823" s="10" t="n">
        <v>1822</v>
      </c>
      <c r="B1823" s="11" t="inlineStr">
        <is>
          <t>Sylhet-A (GEN-A)</t>
        </is>
      </c>
      <c r="C1823" s="11" t="inlineStr">
        <is>
          <t>Mr. Md. Salah Uddin Khan</t>
        </is>
      </c>
      <c r="D1823" s="11" t="inlineStr">
        <is>
          <t>Sylhet GEN-A-5</t>
        </is>
      </c>
      <c r="E1823" s="11" t="inlineStr">
        <is>
          <t>Md. Jakiul Islam</t>
        </is>
      </c>
      <c r="F1823" s="10" t="n">
        <v>10627</v>
      </c>
      <c r="G1823" s="11" t="inlineStr">
        <is>
          <t>Sylhet Popular-2</t>
        </is>
      </c>
      <c r="H1823" s="10" t="n">
        <v>7731</v>
      </c>
      <c r="I1823" s="11" t="inlineStr">
        <is>
          <t>Mr. Rasel Ahmed</t>
        </is>
      </c>
      <c r="J1823" s="10">
        <f>IF(K1823&gt;0, "Completed", "Pending")</f>
        <v/>
      </c>
      <c r="K1823" s="10">
        <f>COUNTIF('Survey Responses'!F:F, F1823)</f>
        <v/>
      </c>
    </row>
    <row r="1824">
      <c r="A1824" s="10" t="n">
        <v>1823</v>
      </c>
      <c r="B1824" s="11" t="inlineStr">
        <is>
          <t>Sylhet-B (GEN-A)</t>
        </is>
      </c>
      <c r="C1824" s="11" t="inlineStr">
        <is>
          <t>Mr. Md. Anisul Islam</t>
        </is>
      </c>
      <c r="D1824" s="11" t="inlineStr">
        <is>
          <t>Bishwanath GEN-A-1</t>
        </is>
      </c>
      <c r="E1824" s="11" t="inlineStr">
        <is>
          <t>Mr. Md. Arefin Hasan</t>
        </is>
      </c>
      <c r="F1824" s="10" t="n">
        <v>10644</v>
      </c>
      <c r="G1824" s="11" t="inlineStr">
        <is>
          <t>Bishanath-1</t>
        </is>
      </c>
      <c r="H1824" s="10" t="n">
        <v>974</v>
      </c>
      <c r="I1824" s="11" t="inlineStr">
        <is>
          <t>Md. Ziaur Rahman</t>
        </is>
      </c>
      <c r="J1824" s="10">
        <f>IF(K1824&gt;0, "Completed", "Pending")</f>
        <v/>
      </c>
      <c r="K1824" s="10">
        <f>COUNTIF('Survey Responses'!F:F, F1824)</f>
        <v/>
      </c>
    </row>
    <row r="1825">
      <c r="A1825" s="10" t="n">
        <v>1824</v>
      </c>
      <c r="B1825" s="11" t="inlineStr">
        <is>
          <t>Sylhet-B (GEN-A)</t>
        </is>
      </c>
      <c r="C1825" s="11" t="inlineStr">
        <is>
          <t>Mr. Md. Anisul Islam</t>
        </is>
      </c>
      <c r="D1825" s="11" t="inlineStr">
        <is>
          <t>Bishwanath GEN-A-1</t>
        </is>
      </c>
      <c r="E1825" s="11" t="inlineStr">
        <is>
          <t>Mr. Md. Arefin Hasan</t>
        </is>
      </c>
      <c r="F1825" s="10" t="n">
        <v>10645</v>
      </c>
      <c r="G1825" s="11" t="inlineStr">
        <is>
          <t>Bishanath-2</t>
        </is>
      </c>
      <c r="H1825" s="10" t="n">
        <v>2744</v>
      </c>
      <c r="I1825" s="11" t="inlineStr">
        <is>
          <t>Md. Noyon Islam</t>
        </is>
      </c>
      <c r="J1825" s="10">
        <f>IF(K1825&gt;0, "Completed", "Pending")</f>
        <v/>
      </c>
      <c r="K1825" s="10">
        <f>COUNTIF('Survey Responses'!F:F, F1825)</f>
        <v/>
      </c>
    </row>
    <row r="1826">
      <c r="A1826" s="10" t="n">
        <v>1825</v>
      </c>
      <c r="B1826" s="11" t="inlineStr">
        <is>
          <t>Sylhet-B (GEN-A)</t>
        </is>
      </c>
      <c r="C1826" s="11" t="inlineStr">
        <is>
          <t>Mr. Md. Anisul Islam</t>
        </is>
      </c>
      <c r="D1826" s="11" t="inlineStr">
        <is>
          <t>Bishwanath GEN-A-1</t>
        </is>
      </c>
      <c r="E1826" s="11" t="inlineStr">
        <is>
          <t>Mr. Md. Arefin Hasan</t>
        </is>
      </c>
      <c r="F1826" s="10" t="n">
        <v>12340</v>
      </c>
      <c r="G1826" s="11" t="inlineStr">
        <is>
          <t>Bishanath-3</t>
        </is>
      </c>
      <c r="H1826" s="10" t="n">
        <v>6449</v>
      </c>
      <c r="I1826" s="11" t="inlineStr">
        <is>
          <t>Mr. Masud Zamader</t>
        </is>
      </c>
      <c r="J1826" s="10">
        <f>IF(K1826&gt;0, "Completed", "Pending")</f>
        <v/>
      </c>
      <c r="K1826" s="10">
        <f>COUNTIF('Survey Responses'!F:F, F1826)</f>
        <v/>
      </c>
    </row>
    <row r="1827">
      <c r="A1827" s="10" t="n">
        <v>1826</v>
      </c>
      <c r="B1827" s="11" t="inlineStr">
        <is>
          <t>Sylhet-B (GEN-A)</t>
        </is>
      </c>
      <c r="C1827" s="11" t="inlineStr">
        <is>
          <t>Mr. Md. Anisul Islam</t>
        </is>
      </c>
      <c r="D1827" s="11" t="inlineStr">
        <is>
          <t>Bishwanath GEN-A-1</t>
        </is>
      </c>
      <c r="E1827" s="11" t="inlineStr">
        <is>
          <t>Mr. Md. Arefin Hasan</t>
        </is>
      </c>
      <c r="F1827" s="10" t="n">
        <v>14865</v>
      </c>
      <c r="G1827" s="11" t="inlineStr">
        <is>
          <t>Bishanath-4</t>
        </is>
      </c>
      <c r="H1827" s="10" t="n">
        <v>8984</v>
      </c>
      <c r="I1827" s="11" t="inlineStr">
        <is>
          <t>Mr. Syed Imteaz Ahmed</t>
        </is>
      </c>
      <c r="J1827" s="10">
        <f>IF(K1827&gt;0, "Completed", "Pending")</f>
        <v/>
      </c>
      <c r="K1827" s="10">
        <f>COUNTIF('Survey Responses'!F:F, F1827)</f>
        <v/>
      </c>
    </row>
    <row r="1828">
      <c r="A1828" s="10" t="n">
        <v>1827</v>
      </c>
      <c r="B1828" s="11" t="inlineStr">
        <is>
          <t>Sylhet-B (GEN-A)</t>
        </is>
      </c>
      <c r="C1828" s="11" t="inlineStr">
        <is>
          <t>Mr. Md. Anisul Islam</t>
        </is>
      </c>
      <c r="D1828" s="11" t="inlineStr">
        <is>
          <t>Bishwanath GEN-A-1</t>
        </is>
      </c>
      <c r="E1828" s="11" t="inlineStr">
        <is>
          <t>Mr. Md. Arefin Hasan</t>
        </is>
      </c>
      <c r="F1828" s="10" t="n">
        <v>10642</v>
      </c>
      <c r="G1828" s="11" t="inlineStr">
        <is>
          <t>Jagannathpur-1</t>
        </is>
      </c>
      <c r="H1828" s="10" t="n">
        <v>5007</v>
      </c>
      <c r="I1828" s="11" t="inlineStr">
        <is>
          <t>Mr. Md. Shabuj Hossen</t>
        </is>
      </c>
      <c r="J1828" s="10">
        <f>IF(K1828&gt;0, "Completed", "Pending")</f>
        <v/>
      </c>
      <c r="K1828" s="10">
        <f>COUNTIF('Survey Responses'!F:F, F1828)</f>
        <v/>
      </c>
    </row>
    <row r="1829">
      <c r="A1829" s="10" t="n">
        <v>1828</v>
      </c>
      <c r="B1829" s="11" t="inlineStr">
        <is>
          <t>Sylhet-B (GEN-A)</t>
        </is>
      </c>
      <c r="C1829" s="11" t="inlineStr">
        <is>
          <t>Mr. Md. Anisul Islam</t>
        </is>
      </c>
      <c r="D1829" s="11" t="inlineStr">
        <is>
          <t>Bishwanath GEN-A-1</t>
        </is>
      </c>
      <c r="E1829" s="11" t="inlineStr">
        <is>
          <t>Mr. Md. Arefin Hasan</t>
        </is>
      </c>
      <c r="F1829" s="10" t="n">
        <v>10643</v>
      </c>
      <c r="G1829" s="11" t="inlineStr">
        <is>
          <t>Jagannathpur-2</t>
        </is>
      </c>
      <c r="H1829" s="10" t="n">
        <v>2148</v>
      </c>
      <c r="I1829" s="11" t="inlineStr">
        <is>
          <t>Md. Shah Alam Mia</t>
        </is>
      </c>
      <c r="J1829" s="10">
        <f>IF(K1829&gt;0, "Completed", "Pending")</f>
        <v/>
      </c>
      <c r="K1829" s="10">
        <f>COUNTIF('Survey Responses'!F:F, F1829)</f>
        <v/>
      </c>
    </row>
    <row r="1830">
      <c r="A1830" s="10" t="n">
        <v>1829</v>
      </c>
      <c r="B1830" s="11" t="inlineStr">
        <is>
          <t>Sylhet-B (GEN-A)</t>
        </is>
      </c>
      <c r="C1830" s="11" t="inlineStr">
        <is>
          <t>Mr. Md. Anisul Islam</t>
        </is>
      </c>
      <c r="D1830" s="11" t="inlineStr">
        <is>
          <t>Bishwanath GEN-A-1</t>
        </is>
      </c>
      <c r="E1830" s="11" t="inlineStr">
        <is>
          <t>Mr. Md. Arefin Hasan</t>
        </is>
      </c>
      <c r="F1830" s="10" t="n">
        <v>12900</v>
      </c>
      <c r="G1830" s="11" t="inlineStr">
        <is>
          <t>Jagannathpur-3</t>
        </is>
      </c>
      <c r="H1830" s="10" t="n">
        <v>5075</v>
      </c>
      <c r="I1830" s="11" t="inlineStr">
        <is>
          <t>Mr. Md. Nur Hossain</t>
        </is>
      </c>
      <c r="J1830" s="10">
        <f>IF(K1830&gt;0, "Completed", "Pending")</f>
        <v/>
      </c>
      <c r="K1830" s="10">
        <f>COUNTIF('Survey Responses'!F:F, F1830)</f>
        <v/>
      </c>
    </row>
    <row r="1831">
      <c r="A1831" s="10" t="n">
        <v>1830</v>
      </c>
      <c r="B1831" s="11" t="inlineStr">
        <is>
          <t>Sylhet-B (GEN-A)</t>
        </is>
      </c>
      <c r="C1831" s="11" t="inlineStr">
        <is>
          <t>Mr. Md. Anisul Islam</t>
        </is>
      </c>
      <c r="D1831" s="11" t="inlineStr">
        <is>
          <t>Bishwanath GEN-A-1</t>
        </is>
      </c>
      <c r="E1831" s="11" t="inlineStr">
        <is>
          <t>Mr. Md. Arefin Hasan</t>
        </is>
      </c>
      <c r="F1831" s="10" t="n">
        <v>14137</v>
      </c>
      <c r="G1831" s="11" t="inlineStr">
        <is>
          <t>Jagannathpur-4</t>
        </is>
      </c>
      <c r="H1831" s="10" t="n">
        <v>5040</v>
      </c>
      <c r="I1831" s="11" t="inlineStr">
        <is>
          <t>Mr. Md. Tuhin Ahamed</t>
        </is>
      </c>
      <c r="J1831" s="10">
        <f>IF(K1831&gt;0, "Completed", "Pending")</f>
        <v/>
      </c>
      <c r="K1831" s="10">
        <f>COUNTIF('Survey Responses'!F:F, F1831)</f>
        <v/>
      </c>
    </row>
    <row r="1832">
      <c r="A1832" s="10" t="n">
        <v>1831</v>
      </c>
      <c r="B1832" s="11" t="inlineStr">
        <is>
          <t>Sylhet-B (GEN-A)</t>
        </is>
      </c>
      <c r="C1832" s="11" t="inlineStr">
        <is>
          <t>Mr. Md. Anisul Islam</t>
        </is>
      </c>
      <c r="D1832" s="11" t="inlineStr">
        <is>
          <t>Kulaura GEN-A-1</t>
        </is>
      </c>
      <c r="E1832" s="11" t="inlineStr">
        <is>
          <t>Mr. Md. Zohurul Islam</t>
        </is>
      </c>
      <c r="F1832" s="10" t="n">
        <v>10647</v>
      </c>
      <c r="G1832" s="11" t="inlineStr">
        <is>
          <t>Borolekha-1</t>
        </is>
      </c>
      <c r="H1832" s="10" t="n">
        <v>1306</v>
      </c>
      <c r="I1832" s="11" t="inlineStr">
        <is>
          <t>Md. Aminul Islam</t>
        </is>
      </c>
      <c r="J1832" s="10">
        <f>IF(K1832&gt;0, "Completed", "Pending")</f>
        <v/>
      </c>
      <c r="K1832" s="10">
        <f>COUNTIF('Survey Responses'!F:F, F1832)</f>
        <v/>
      </c>
    </row>
    <row r="1833">
      <c r="A1833" s="10" t="n">
        <v>1832</v>
      </c>
      <c r="B1833" s="11" t="inlineStr">
        <is>
          <t>Sylhet-B (GEN-A)</t>
        </is>
      </c>
      <c r="C1833" s="11" t="inlineStr">
        <is>
          <t>Mr. Md. Anisul Islam</t>
        </is>
      </c>
      <c r="D1833" s="11" t="inlineStr">
        <is>
          <t>Kulaura GEN-A-1</t>
        </is>
      </c>
      <c r="E1833" s="11" t="inlineStr">
        <is>
          <t>Mr. Md. Zohurul Islam</t>
        </is>
      </c>
      <c r="F1833" s="10" t="n">
        <v>10651</v>
      </c>
      <c r="G1833" s="11" t="inlineStr">
        <is>
          <t>Borolekha-2</t>
        </is>
      </c>
      <c r="H1833" s="10" t="n">
        <v>1688</v>
      </c>
      <c r="I1833" s="11" t="inlineStr">
        <is>
          <t>Rajib Ahamed</t>
        </is>
      </c>
      <c r="J1833" s="10">
        <f>IF(K1833&gt;0, "Completed", "Pending")</f>
        <v/>
      </c>
      <c r="K1833" s="10">
        <f>COUNTIF('Survey Responses'!F:F, F1833)</f>
        <v/>
      </c>
    </row>
    <row r="1834">
      <c r="A1834" s="10" t="n">
        <v>1833</v>
      </c>
      <c r="B1834" s="11" t="inlineStr">
        <is>
          <t>Sylhet-B (GEN-A)</t>
        </is>
      </c>
      <c r="C1834" s="11" t="inlineStr">
        <is>
          <t>Mr. Md. Anisul Islam</t>
        </is>
      </c>
      <c r="D1834" s="11" t="inlineStr">
        <is>
          <t>Kulaura GEN-A-1</t>
        </is>
      </c>
      <c r="E1834" s="11" t="inlineStr">
        <is>
          <t>Mr. Md. Zohurul Islam</t>
        </is>
      </c>
      <c r="F1834" s="10" t="n">
        <v>10652</v>
      </c>
      <c r="G1834" s="11" t="inlineStr">
        <is>
          <t>Borolekha-3</t>
        </is>
      </c>
      <c r="H1834" s="10" t="n">
        <v>1609</v>
      </c>
      <c r="I1834" s="11" t="inlineStr">
        <is>
          <t>Md. Ashraful Islam</t>
        </is>
      </c>
      <c r="J1834" s="10">
        <f>IF(K1834&gt;0, "Completed", "Pending")</f>
        <v/>
      </c>
      <c r="K1834" s="10">
        <f>COUNTIF('Survey Responses'!F:F, F1834)</f>
        <v/>
      </c>
    </row>
    <row r="1835">
      <c r="A1835" s="10" t="n">
        <v>1834</v>
      </c>
      <c r="B1835" s="11" t="inlineStr">
        <is>
          <t>Sylhet-B (GEN-A)</t>
        </is>
      </c>
      <c r="C1835" s="11" t="inlineStr">
        <is>
          <t>Mr. Md. Anisul Islam</t>
        </is>
      </c>
      <c r="D1835" s="11" t="inlineStr">
        <is>
          <t>Kulaura GEN-A-1</t>
        </is>
      </c>
      <c r="E1835" s="11" t="inlineStr">
        <is>
          <t>Mr. Md. Zohurul Islam</t>
        </is>
      </c>
      <c r="F1835" s="10" t="n">
        <v>10648</v>
      </c>
      <c r="G1835" s="11" t="inlineStr">
        <is>
          <t>Juri-1</t>
        </is>
      </c>
      <c r="H1835" s="10" t="n">
        <v>1232</v>
      </c>
      <c r="I1835" s="11" t="inlineStr">
        <is>
          <t>Md. Rajib Ahmed</t>
        </is>
      </c>
      <c r="J1835" s="10">
        <f>IF(K1835&gt;0, "Completed", "Pending")</f>
        <v/>
      </c>
      <c r="K1835" s="10">
        <f>COUNTIF('Survey Responses'!F:F, F1835)</f>
        <v/>
      </c>
    </row>
    <row r="1836">
      <c r="A1836" s="10" t="n">
        <v>1835</v>
      </c>
      <c r="B1836" s="11" t="inlineStr">
        <is>
          <t>Sylhet-B (GEN-A)</t>
        </is>
      </c>
      <c r="C1836" s="11" t="inlineStr">
        <is>
          <t>Mr. Md. Anisul Islam</t>
        </is>
      </c>
      <c r="D1836" s="11" t="inlineStr">
        <is>
          <t>Kulaura GEN-A-1</t>
        </is>
      </c>
      <c r="E1836" s="11" t="inlineStr">
        <is>
          <t>Mr. Md. Zohurul Islam</t>
        </is>
      </c>
      <c r="F1836" s="10" t="n">
        <v>14631</v>
      </c>
      <c r="G1836" s="11" t="inlineStr">
        <is>
          <t>Juri-2</t>
        </is>
      </c>
      <c r="H1836" s="10" t="n">
        <v>7728</v>
      </c>
      <c r="I1836" s="11" t="inlineStr">
        <is>
          <t>Mr. Md. A. Khalek Pk</t>
        </is>
      </c>
      <c r="J1836" s="10">
        <f>IF(K1836&gt;0, "Completed", "Pending")</f>
        <v/>
      </c>
      <c r="K1836" s="10">
        <f>COUNTIF('Survey Responses'!F:F, F1836)</f>
        <v/>
      </c>
    </row>
    <row r="1837">
      <c r="A1837" s="10" t="n">
        <v>1836</v>
      </c>
      <c r="B1837" s="11" t="inlineStr">
        <is>
          <t>Sylhet-B (GEN-A)</t>
        </is>
      </c>
      <c r="C1837" s="11" t="inlineStr">
        <is>
          <t>Mr. Md. Anisul Islam</t>
        </is>
      </c>
      <c r="D1837" s="11" t="inlineStr">
        <is>
          <t>Kulaura GEN-A-1</t>
        </is>
      </c>
      <c r="E1837" s="11" t="inlineStr">
        <is>
          <t>Mr. Md. Zohurul Islam</t>
        </is>
      </c>
      <c r="F1837" s="10" t="n">
        <v>10649</v>
      </c>
      <c r="G1837" s="11" t="inlineStr">
        <is>
          <t>Kulaura-1</t>
        </is>
      </c>
      <c r="H1837" s="10" t="n">
        <v>3420</v>
      </c>
      <c r="I1837" s="11" t="inlineStr">
        <is>
          <t>Mr. Md. Aslam Hossen</t>
        </is>
      </c>
      <c r="J1837" s="10">
        <f>IF(K1837&gt;0, "Completed", "Pending")</f>
        <v/>
      </c>
      <c r="K1837" s="10">
        <f>COUNTIF('Survey Responses'!F:F, F1837)</f>
        <v/>
      </c>
    </row>
    <row r="1838">
      <c r="A1838" s="10" t="n">
        <v>1837</v>
      </c>
      <c r="B1838" s="11" t="inlineStr">
        <is>
          <t>Sylhet-B (GEN-A)</t>
        </is>
      </c>
      <c r="C1838" s="11" t="inlineStr">
        <is>
          <t>Mr. Md. Anisul Islam</t>
        </is>
      </c>
      <c r="D1838" s="11" t="inlineStr">
        <is>
          <t>Kulaura GEN-A-1</t>
        </is>
      </c>
      <c r="E1838" s="11" t="inlineStr">
        <is>
          <t>Mr. Md. Zohurul Islam</t>
        </is>
      </c>
      <c r="F1838" s="10" t="n">
        <v>10650</v>
      </c>
      <c r="G1838" s="11" t="inlineStr">
        <is>
          <t>Kulaura-2</t>
        </is>
      </c>
      <c r="H1838" s="10" t="n">
        <v>2307</v>
      </c>
      <c r="I1838" s="11" t="inlineStr">
        <is>
          <t>Md. Parvejul Islam</t>
        </is>
      </c>
      <c r="J1838" s="10">
        <f>IF(K1838&gt;0, "Completed", "Pending")</f>
        <v/>
      </c>
      <c r="K1838" s="10">
        <f>COUNTIF('Survey Responses'!F:F, F1838)</f>
        <v/>
      </c>
    </row>
    <row r="1839">
      <c r="A1839" s="10" t="n">
        <v>1838</v>
      </c>
      <c r="B1839" s="11" t="inlineStr">
        <is>
          <t>Sylhet-B (GEN-A)</t>
        </is>
      </c>
      <c r="C1839" s="11" t="inlineStr">
        <is>
          <t>Mr. Md. Anisul Islam</t>
        </is>
      </c>
      <c r="D1839" s="11" t="inlineStr">
        <is>
          <t>Kulaura GEN-A-1</t>
        </is>
      </c>
      <c r="E1839" s="11" t="inlineStr">
        <is>
          <t>Mr. Md. Zohurul Islam</t>
        </is>
      </c>
      <c r="F1839" s="10" t="n">
        <v>12532</v>
      </c>
      <c r="G1839" s="11" t="inlineStr">
        <is>
          <t>Kulaura-3</t>
        </is>
      </c>
      <c r="H1839" s="10" t="n">
        <v>5072</v>
      </c>
      <c r="I1839" s="11" t="inlineStr">
        <is>
          <t>Mr. Vanu Ram Barman</t>
        </is>
      </c>
      <c r="J1839" s="10">
        <f>IF(K1839&gt;0, "Completed", "Pending")</f>
        <v/>
      </c>
      <c r="K1839" s="10">
        <f>COUNTIF('Survey Responses'!F:F, F1839)</f>
        <v/>
      </c>
    </row>
    <row r="1840">
      <c r="A1840" s="10" t="n">
        <v>1839</v>
      </c>
      <c r="B1840" s="11" t="inlineStr">
        <is>
          <t>Sylhet-B (GEN-A)</t>
        </is>
      </c>
      <c r="C1840" s="11" t="inlineStr">
        <is>
          <t>Mr. Md. Anisul Islam</t>
        </is>
      </c>
      <c r="D1840" s="11" t="inlineStr">
        <is>
          <t>Moulovibazar GEN-A-1</t>
        </is>
      </c>
      <c r="E1840" s="11" t="inlineStr">
        <is>
          <t>Mr. Ripan Kumar Sarkar</t>
        </is>
      </c>
      <c r="F1840" s="10" t="n">
        <v>10681</v>
      </c>
      <c r="G1840" s="11" t="inlineStr">
        <is>
          <t>Moulvibazar-1</t>
        </is>
      </c>
      <c r="H1840" s="10" t="n">
        <v>7042</v>
      </c>
      <c r="I1840" s="11" t="inlineStr">
        <is>
          <t>Mr. Md. Haider Ali</t>
        </is>
      </c>
      <c r="J1840" s="10">
        <f>IF(K1840&gt;0, "Completed", "Pending")</f>
        <v/>
      </c>
      <c r="K1840" s="10">
        <f>COUNTIF('Survey Responses'!F:F, F1840)</f>
        <v/>
      </c>
    </row>
    <row r="1841">
      <c r="A1841" s="10" t="n">
        <v>1840</v>
      </c>
      <c r="B1841" s="11" t="inlineStr">
        <is>
          <t>Sylhet-B (GEN-A)</t>
        </is>
      </c>
      <c r="C1841" s="11" t="inlineStr">
        <is>
          <t>Mr. Md. Anisul Islam</t>
        </is>
      </c>
      <c r="D1841" s="11" t="inlineStr">
        <is>
          <t>Moulovibazar GEN-A-1</t>
        </is>
      </c>
      <c r="E1841" s="11" t="inlineStr">
        <is>
          <t>Mr. Ripan Kumar Sarkar</t>
        </is>
      </c>
      <c r="F1841" s="10" t="n">
        <v>10680</v>
      </c>
      <c r="G1841" s="11" t="inlineStr">
        <is>
          <t>Moulvibazar-2</t>
        </is>
      </c>
      <c r="H1841" s="10" t="n">
        <v>3949</v>
      </c>
      <c r="I1841" s="11" t="inlineStr">
        <is>
          <t>Mr. Md. Mamun Mostafiz</t>
        </is>
      </c>
      <c r="J1841" s="10">
        <f>IF(K1841&gt;0, "Completed", "Pending")</f>
        <v/>
      </c>
      <c r="K1841" s="10">
        <f>COUNTIF('Survey Responses'!F:F, F1841)</f>
        <v/>
      </c>
    </row>
    <row r="1842">
      <c r="A1842" s="10" t="n">
        <v>1841</v>
      </c>
      <c r="B1842" s="11" t="inlineStr">
        <is>
          <t>Sylhet-B (GEN-A)</t>
        </is>
      </c>
      <c r="C1842" s="11" t="inlineStr">
        <is>
          <t>Mr. Md. Anisul Islam</t>
        </is>
      </c>
      <c r="D1842" s="11" t="inlineStr">
        <is>
          <t>Moulovibazar GEN-A-1</t>
        </is>
      </c>
      <c r="E1842" s="11" t="inlineStr">
        <is>
          <t>Mr. Ripan Kumar Sarkar</t>
        </is>
      </c>
      <c r="F1842" s="10" t="n">
        <v>10679</v>
      </c>
      <c r="G1842" s="11" t="inlineStr">
        <is>
          <t>Moulvibazar-3</t>
        </is>
      </c>
      <c r="H1842" s="10" t="n">
        <v>1448</v>
      </c>
      <c r="I1842" s="11" t="inlineStr">
        <is>
          <t>Md. Abdul Kader</t>
        </is>
      </c>
      <c r="J1842" s="10">
        <f>IF(K1842&gt;0, "Completed", "Pending")</f>
        <v/>
      </c>
      <c r="K1842" s="10">
        <f>COUNTIF('Survey Responses'!F:F, F1842)</f>
        <v/>
      </c>
    </row>
    <row r="1843">
      <c r="A1843" s="10" t="n">
        <v>1842</v>
      </c>
      <c r="B1843" s="11" t="inlineStr">
        <is>
          <t>Sylhet-B (GEN-A)</t>
        </is>
      </c>
      <c r="C1843" s="11" t="inlineStr">
        <is>
          <t>Mr. Md. Anisul Islam</t>
        </is>
      </c>
      <c r="D1843" s="11" t="inlineStr">
        <is>
          <t>Moulovibazar GEN-A-1</t>
        </is>
      </c>
      <c r="E1843" s="11" t="inlineStr">
        <is>
          <t>Mr. Ripan Kumar Sarkar</t>
        </is>
      </c>
      <c r="F1843" s="10" t="n">
        <v>10684</v>
      </c>
      <c r="G1843" s="11" t="inlineStr">
        <is>
          <t>Moulvibazar-4</t>
        </is>
      </c>
      <c r="H1843" s="10" t="n">
        <v>5500</v>
      </c>
      <c r="I1843" s="11" t="inlineStr">
        <is>
          <t>Mr. Md. Jahid Hasan</t>
        </is>
      </c>
      <c r="J1843" s="10">
        <f>IF(K1843&gt;0, "Completed", "Pending")</f>
        <v/>
      </c>
      <c r="K1843" s="10">
        <f>COUNTIF('Survey Responses'!F:F, F1843)</f>
        <v/>
      </c>
    </row>
    <row r="1844">
      <c r="A1844" s="10" t="n">
        <v>1843</v>
      </c>
      <c r="B1844" s="11" t="inlineStr">
        <is>
          <t>Sylhet-B (GEN-A)</t>
        </is>
      </c>
      <c r="C1844" s="11" t="inlineStr">
        <is>
          <t>Mr. Md. Anisul Islam</t>
        </is>
      </c>
      <c r="D1844" s="11" t="inlineStr">
        <is>
          <t>Moulovibazar GEN-A-1</t>
        </is>
      </c>
      <c r="E1844" s="11" t="inlineStr">
        <is>
          <t>Mr. Ripan Kumar Sarkar</t>
        </is>
      </c>
      <c r="F1844" s="10" t="n">
        <v>13260</v>
      </c>
      <c r="G1844" s="11" t="inlineStr">
        <is>
          <t>Moulvibazar-5</t>
        </is>
      </c>
      <c r="H1844" s="10" t="n">
        <v>5160</v>
      </c>
      <c r="I1844" s="11" t="inlineStr">
        <is>
          <t>Mr. Md. Mainul Haider</t>
        </is>
      </c>
      <c r="J1844" s="10">
        <f>IF(K1844&gt;0, "Completed", "Pending")</f>
        <v/>
      </c>
      <c r="K1844" s="10">
        <f>COUNTIF('Survey Responses'!F:F, F1844)</f>
        <v/>
      </c>
    </row>
    <row r="1845">
      <c r="A1845" s="10" t="n">
        <v>1844</v>
      </c>
      <c r="B1845" s="11" t="inlineStr">
        <is>
          <t>Sylhet-B (GEN-A)</t>
        </is>
      </c>
      <c r="C1845" s="11" t="inlineStr">
        <is>
          <t>Mr. Md. Anisul Islam</t>
        </is>
      </c>
      <c r="D1845" s="11" t="inlineStr">
        <is>
          <t>Moulovibazar GEN-A-1</t>
        </is>
      </c>
      <c r="E1845" s="11" t="inlineStr">
        <is>
          <t>Mr. Ripan Kumar Sarkar</t>
        </is>
      </c>
      <c r="F1845" s="10" t="n">
        <v>10683</v>
      </c>
      <c r="G1845" s="11" t="inlineStr">
        <is>
          <t>Rajnagor</t>
        </is>
      </c>
      <c r="H1845" s="10" t="n">
        <v>2259</v>
      </c>
      <c r="I1845" s="11" t="inlineStr">
        <is>
          <t>Sonjoy Kumar Barman</t>
        </is>
      </c>
      <c r="J1845" s="10">
        <f>IF(K1845&gt;0, "Completed", "Pending")</f>
        <v/>
      </c>
      <c r="K1845" s="10">
        <f>COUNTIF('Survey Responses'!F:F, F1845)</f>
        <v/>
      </c>
    </row>
    <row r="1846">
      <c r="A1846" s="10" t="n">
        <v>1845</v>
      </c>
      <c r="B1846" s="11" t="inlineStr">
        <is>
          <t>Sylhet-B (GEN-A)</t>
        </is>
      </c>
      <c r="C1846" s="11" t="inlineStr">
        <is>
          <t>Mr. Md. Anisul Islam</t>
        </is>
      </c>
      <c r="D1846" s="11" t="inlineStr">
        <is>
          <t>Moulovibazar GEN-A-1</t>
        </is>
      </c>
      <c r="E1846" s="11" t="inlineStr">
        <is>
          <t>Mr. Ripan Kumar Sarkar</t>
        </is>
      </c>
      <c r="F1846" s="10" t="n">
        <v>10682</v>
      </c>
      <c r="G1846" s="11" t="inlineStr">
        <is>
          <t>Shomshernagor-1</t>
        </is>
      </c>
      <c r="H1846" s="10" t="n">
        <v>1857</v>
      </c>
      <c r="I1846" s="11" t="inlineStr">
        <is>
          <t>Md. Nawab Ali</t>
        </is>
      </c>
      <c r="J1846" s="10">
        <f>IF(K1846&gt;0, "Completed", "Pending")</f>
        <v/>
      </c>
      <c r="K1846" s="10">
        <f>COUNTIF('Survey Responses'!F:F, F1846)</f>
        <v/>
      </c>
    </row>
    <row r="1847">
      <c r="A1847" s="10" t="n">
        <v>1846</v>
      </c>
      <c r="B1847" s="11" t="inlineStr">
        <is>
          <t>Sylhet-B (GEN-A)</t>
        </is>
      </c>
      <c r="C1847" s="11" t="inlineStr">
        <is>
          <t>Mr. Md. Anisul Islam</t>
        </is>
      </c>
      <c r="D1847" s="11" t="inlineStr">
        <is>
          <t>Moulovibazar GEN-A-1</t>
        </is>
      </c>
      <c r="E1847" s="11" t="inlineStr">
        <is>
          <t>Mr. Ripan Kumar Sarkar</t>
        </is>
      </c>
      <c r="F1847" s="10" t="n">
        <v>14551</v>
      </c>
      <c r="G1847" s="11" t="inlineStr">
        <is>
          <t>Shomshernagor-2</t>
        </is>
      </c>
      <c r="H1847" s="10" t="n">
        <v>7613</v>
      </c>
      <c r="I1847" s="11" t="inlineStr">
        <is>
          <t>Mr. Palash Biswas</t>
        </is>
      </c>
      <c r="J1847" s="10">
        <f>IF(K1847&gt;0, "Completed", "Pending")</f>
        <v/>
      </c>
      <c r="K1847" s="10">
        <f>COUNTIF('Survey Responses'!F:F, F1847)</f>
        <v/>
      </c>
    </row>
    <row r="1848">
      <c r="A1848" s="10" t="n">
        <v>1847</v>
      </c>
      <c r="B1848" s="11" t="inlineStr">
        <is>
          <t>Sylhet-B (GEN-A)</t>
        </is>
      </c>
      <c r="C1848" s="11" t="inlineStr">
        <is>
          <t>Mr. Md. Anisul Islam</t>
        </is>
      </c>
      <c r="D1848" s="11" t="inlineStr">
        <is>
          <t>Sreemongal GEN-A-1</t>
        </is>
      </c>
      <c r="E1848" s="11" t="inlineStr">
        <is>
          <t>Mr. ATM Shakhawat Hossain</t>
        </is>
      </c>
      <c r="F1848" s="10" t="n">
        <v>10676</v>
      </c>
      <c r="G1848" s="11" t="inlineStr">
        <is>
          <t>Chunarughat-1</t>
        </is>
      </c>
      <c r="H1848" s="10" t="n">
        <v>1349</v>
      </c>
      <c r="I1848" s="11" t="inlineStr">
        <is>
          <t>Sumol Chandra Pk</t>
        </is>
      </c>
      <c r="J1848" s="10">
        <f>IF(K1848&gt;0, "Completed", "Pending")</f>
        <v/>
      </c>
      <c r="K1848" s="10">
        <f>COUNTIF('Survey Responses'!F:F, F1848)</f>
        <v/>
      </c>
    </row>
    <row r="1849">
      <c r="A1849" s="10" t="n">
        <v>1848</v>
      </c>
      <c r="B1849" s="11" t="inlineStr">
        <is>
          <t>Sylhet-B (GEN-A)</t>
        </is>
      </c>
      <c r="C1849" s="11" t="inlineStr">
        <is>
          <t>Mr. Md. Anisul Islam</t>
        </is>
      </c>
      <c r="D1849" s="11" t="inlineStr">
        <is>
          <t>Sreemongal GEN-A-1</t>
        </is>
      </c>
      <c r="E1849" s="11" t="inlineStr">
        <is>
          <t>Mr. ATM Shakhawat Hossain</t>
        </is>
      </c>
      <c r="F1849" s="10" t="n">
        <v>12558</v>
      </c>
      <c r="G1849" s="11" t="inlineStr">
        <is>
          <t>Chunarughat-2</t>
        </is>
      </c>
      <c r="H1849" s="10" t="n">
        <v>4165</v>
      </c>
      <c r="I1849" s="11" t="inlineStr">
        <is>
          <t>Mr. Md. Mukul Pramanik</t>
        </is>
      </c>
      <c r="J1849" s="10">
        <f>IF(K1849&gt;0, "Completed", "Pending")</f>
        <v/>
      </c>
      <c r="K1849" s="10">
        <f>COUNTIF('Survey Responses'!F:F, F1849)</f>
        <v/>
      </c>
    </row>
    <row r="1850">
      <c r="A1850" s="10" t="n">
        <v>1849</v>
      </c>
      <c r="B1850" s="11" t="inlineStr">
        <is>
          <t>Sylhet-B (GEN-A)</t>
        </is>
      </c>
      <c r="C1850" s="11" t="inlineStr">
        <is>
          <t>Mr. Md. Anisul Islam</t>
        </is>
      </c>
      <c r="D1850" s="11" t="inlineStr">
        <is>
          <t>Sreemongal GEN-A-1</t>
        </is>
      </c>
      <c r="E1850" s="11" t="inlineStr">
        <is>
          <t>Mr. ATM Shakhawat Hossain</t>
        </is>
      </c>
      <c r="F1850" s="10" t="n">
        <v>10674</v>
      </c>
      <c r="G1850" s="11" t="inlineStr">
        <is>
          <t>Kamolganj</t>
        </is>
      </c>
      <c r="H1850" s="10" t="n">
        <v>2164</v>
      </c>
      <c r="I1850" s="11" t="inlineStr">
        <is>
          <t>Md. Usub Ali</t>
        </is>
      </c>
      <c r="J1850" s="10">
        <f>IF(K1850&gt;0, "Completed", "Pending")</f>
        <v/>
      </c>
      <c r="K1850" s="10">
        <f>COUNTIF('Survey Responses'!F:F, F1850)</f>
        <v/>
      </c>
    </row>
    <row r="1851">
      <c r="A1851" s="10" t="n">
        <v>1850</v>
      </c>
      <c r="B1851" s="11" t="inlineStr">
        <is>
          <t>Sylhet-B (GEN-A)</t>
        </is>
      </c>
      <c r="C1851" s="11" t="inlineStr">
        <is>
          <t>Mr. Md. Anisul Islam</t>
        </is>
      </c>
      <c r="D1851" s="11" t="inlineStr">
        <is>
          <t>Sreemongal GEN-A-1</t>
        </is>
      </c>
      <c r="E1851" s="11" t="inlineStr">
        <is>
          <t>Mr. ATM Shakhawat Hossain</t>
        </is>
      </c>
      <c r="F1851" s="10" t="n">
        <v>10673</v>
      </c>
      <c r="G1851" s="11" t="inlineStr">
        <is>
          <t>Sreemongal-1</t>
        </is>
      </c>
      <c r="H1851" s="10" t="n">
        <v>6322</v>
      </c>
      <c r="I1851" s="11" t="inlineStr">
        <is>
          <t>Mr. Aktab Hossain</t>
        </is>
      </c>
      <c r="J1851" s="10">
        <f>IF(K1851&gt;0, "Completed", "Pending")</f>
        <v/>
      </c>
      <c r="K1851" s="10">
        <f>COUNTIF('Survey Responses'!F:F, F1851)</f>
        <v/>
      </c>
    </row>
    <row r="1852">
      <c r="A1852" s="10" t="n">
        <v>1851</v>
      </c>
      <c r="B1852" s="11" t="inlineStr">
        <is>
          <t>Sylhet-B (GEN-A)</t>
        </is>
      </c>
      <c r="C1852" s="11" t="inlineStr">
        <is>
          <t>Mr. Md. Anisul Islam</t>
        </is>
      </c>
      <c r="D1852" s="11" t="inlineStr">
        <is>
          <t>Sreemongal GEN-A-1</t>
        </is>
      </c>
      <c r="E1852" s="11" t="inlineStr">
        <is>
          <t>Mr. ATM Shakhawat Hossain</t>
        </is>
      </c>
      <c r="F1852" s="10" t="n">
        <v>10675</v>
      </c>
      <c r="G1852" s="11" t="inlineStr">
        <is>
          <t>Sreemongal-2</t>
        </is>
      </c>
      <c r="H1852" s="10" t="n">
        <v>5145</v>
      </c>
      <c r="I1852" s="11" t="inlineStr">
        <is>
          <t>Mr. Md. Mohaiminul Islam</t>
        </is>
      </c>
      <c r="J1852" s="10">
        <f>IF(K1852&gt;0, "Completed", "Pending")</f>
        <v/>
      </c>
      <c r="K1852" s="10">
        <f>COUNTIF('Survey Responses'!F:F, F1852)</f>
        <v/>
      </c>
    </row>
    <row r="1853">
      <c r="A1853" s="10" t="n">
        <v>1852</v>
      </c>
      <c r="B1853" s="11" t="inlineStr">
        <is>
          <t>Sylhet-B (GEN-A)</t>
        </is>
      </c>
      <c r="C1853" s="11" t="inlineStr">
        <is>
          <t>Mr. Md. Anisul Islam</t>
        </is>
      </c>
      <c r="D1853" s="11" t="inlineStr">
        <is>
          <t>Sreemongal GEN-A-1</t>
        </is>
      </c>
      <c r="E1853" s="11" t="inlineStr">
        <is>
          <t>Mr. ATM Shakhawat Hossain</t>
        </is>
      </c>
      <c r="F1853" s="10" t="n">
        <v>10677</v>
      </c>
      <c r="G1853" s="11" t="inlineStr">
        <is>
          <t>Sreemongal-3</t>
        </is>
      </c>
      <c r="H1853" s="10" t="n">
        <v>2389</v>
      </c>
      <c r="I1853" s="11" t="inlineStr">
        <is>
          <t>Mr. Asaduzzaman</t>
        </is>
      </c>
      <c r="J1853" s="10">
        <f>IF(K1853&gt;0, "Completed", "Pending")</f>
        <v/>
      </c>
      <c r="K1853" s="10">
        <f>COUNTIF('Survey Responses'!F:F, F1853)</f>
        <v/>
      </c>
    </row>
    <row r="1854">
      <c r="A1854" s="10" t="n">
        <v>1853</v>
      </c>
      <c r="B1854" s="11" t="inlineStr">
        <is>
          <t>Sylhet-B (GEN-A)</t>
        </is>
      </c>
      <c r="C1854" s="11" t="inlineStr">
        <is>
          <t>Mr. Md. Anisul Islam</t>
        </is>
      </c>
      <c r="D1854" s="11" t="inlineStr">
        <is>
          <t>Sreemongal GEN-A-1</t>
        </is>
      </c>
      <c r="E1854" s="11" t="inlineStr">
        <is>
          <t>Mr. ATM Shakhawat Hossain</t>
        </is>
      </c>
      <c r="F1854" s="10" t="n">
        <v>14842</v>
      </c>
      <c r="G1854" s="11" t="inlineStr">
        <is>
          <t>Sreemongal-4</t>
        </is>
      </c>
      <c r="H1854" s="10" t="n">
        <v>8932</v>
      </c>
      <c r="I1854" s="11" t="inlineStr">
        <is>
          <t>Mr. Md. Mesbaul Islam</t>
        </is>
      </c>
      <c r="J1854" s="10">
        <f>IF(K1854&gt;0, "Completed", "Pending")</f>
        <v/>
      </c>
      <c r="K1854" s="10">
        <f>COUNTIF('Survey Responses'!F:F, F1854)</f>
        <v/>
      </c>
    </row>
    <row r="1855">
      <c r="A1855" s="10" t="n">
        <v>1854</v>
      </c>
      <c r="B1855" s="11" t="inlineStr">
        <is>
          <t>Sylhet-B (GEN-A)</t>
        </is>
      </c>
      <c r="C1855" s="11" t="inlineStr">
        <is>
          <t>Mr. Md. Anisul Islam</t>
        </is>
      </c>
      <c r="D1855" s="11" t="inlineStr">
        <is>
          <t>Sylhet GEN-A-2</t>
        </is>
      </c>
      <c r="E1855" s="11" t="inlineStr">
        <is>
          <t>Mr. Mohammad Hasan</t>
        </is>
      </c>
      <c r="F1855" s="10" t="n">
        <v>10672</v>
      </c>
      <c r="G1855" s="11" t="inlineStr">
        <is>
          <t>SOMCH-1</t>
        </is>
      </c>
      <c r="H1855" s="10" t="n">
        <v>2278</v>
      </c>
      <c r="I1855" s="11" t="inlineStr">
        <is>
          <t>Md. Shariful Islam</t>
        </is>
      </c>
      <c r="J1855" s="10">
        <f>IF(K1855&gt;0, "Completed", "Pending")</f>
        <v/>
      </c>
      <c r="K1855" s="10">
        <f>COUNTIF('Survey Responses'!F:F, F1855)</f>
        <v/>
      </c>
    </row>
    <row r="1856">
      <c r="A1856" s="10" t="n">
        <v>1855</v>
      </c>
      <c r="B1856" s="11" t="inlineStr">
        <is>
          <t>Sylhet-B (GEN-A)</t>
        </is>
      </c>
      <c r="C1856" s="11" t="inlineStr">
        <is>
          <t>Mr. Md. Anisul Islam</t>
        </is>
      </c>
      <c r="D1856" s="11" t="inlineStr">
        <is>
          <t>Sylhet GEN-A-2</t>
        </is>
      </c>
      <c r="E1856" s="11" t="inlineStr">
        <is>
          <t>Mr. Mohammad Hasan</t>
        </is>
      </c>
      <c r="F1856" s="10" t="n">
        <v>10669</v>
      </c>
      <c r="G1856" s="11" t="inlineStr">
        <is>
          <t>Sylhet (Lab Aid)</t>
        </is>
      </c>
      <c r="H1856" s="10" t="n">
        <v>4163</v>
      </c>
      <c r="I1856" s="11" t="inlineStr">
        <is>
          <t>Mr. Nigamananda Ray</t>
        </is>
      </c>
      <c r="J1856" s="10">
        <f>IF(K1856&gt;0, "Completed", "Pending")</f>
        <v/>
      </c>
      <c r="K1856" s="10">
        <f>COUNTIF('Survey Responses'!F:F, F1856)</f>
        <v/>
      </c>
    </row>
    <row r="1857">
      <c r="A1857" s="10" t="n">
        <v>1856</v>
      </c>
      <c r="B1857" s="11" t="inlineStr">
        <is>
          <t>Sylhet-B (GEN-A)</t>
        </is>
      </c>
      <c r="C1857" s="11" t="inlineStr">
        <is>
          <t>Mr. Md. Anisul Islam</t>
        </is>
      </c>
      <c r="D1857" s="11" t="inlineStr">
        <is>
          <t>Sylhet GEN-A-2</t>
        </is>
      </c>
      <c r="E1857" s="11" t="inlineStr">
        <is>
          <t>Mr. Mohammad Hasan</t>
        </is>
      </c>
      <c r="F1857" s="10" t="n">
        <v>13497</v>
      </c>
      <c r="G1857" s="11" t="inlineStr">
        <is>
          <t>Sylhet (Mount Adora)-1</t>
        </is>
      </c>
      <c r="H1857" s="10" t="n">
        <v>7144</v>
      </c>
      <c r="I1857" s="11" t="inlineStr">
        <is>
          <t>Mr. Md. Rezaul Karim</t>
        </is>
      </c>
      <c r="J1857" s="10">
        <f>IF(K1857&gt;0, "Completed", "Pending")</f>
        <v/>
      </c>
      <c r="K1857" s="10">
        <f>COUNTIF('Survey Responses'!F:F, F1857)</f>
        <v/>
      </c>
    </row>
    <row r="1858">
      <c r="A1858" s="10" t="n">
        <v>1857</v>
      </c>
      <c r="B1858" s="11" t="inlineStr">
        <is>
          <t>Sylhet-B (GEN-A)</t>
        </is>
      </c>
      <c r="C1858" s="11" t="inlineStr">
        <is>
          <t>Mr. Md. Anisul Islam</t>
        </is>
      </c>
      <c r="D1858" s="11" t="inlineStr">
        <is>
          <t>Sylhet GEN-A-2</t>
        </is>
      </c>
      <c r="E1858" s="11" t="inlineStr">
        <is>
          <t>Mr. Mohammad Hasan</t>
        </is>
      </c>
      <c r="F1858" s="10" t="n">
        <v>14510</v>
      </c>
      <c r="G1858" s="11" t="inlineStr">
        <is>
          <t>Sylhet (Mount Adora)-2</t>
        </is>
      </c>
      <c r="H1858" s="10" t="n">
        <v>1871</v>
      </c>
      <c r="I1858" s="11" t="inlineStr">
        <is>
          <t>Md. Farhad Hossen</t>
        </is>
      </c>
      <c r="J1858" s="10">
        <f>IF(K1858&gt;0, "Completed", "Pending")</f>
        <v/>
      </c>
      <c r="K1858" s="10">
        <f>COUNTIF('Survey Responses'!F:F, F1858)</f>
        <v/>
      </c>
    </row>
    <row r="1859">
      <c r="A1859" s="10" t="n">
        <v>1858</v>
      </c>
      <c r="B1859" s="11" t="inlineStr">
        <is>
          <t>Sylhet-B (GEN-A)</t>
        </is>
      </c>
      <c r="C1859" s="11" t="inlineStr">
        <is>
          <t>Mr. Md. Anisul Islam</t>
        </is>
      </c>
      <c r="D1859" s="11" t="inlineStr">
        <is>
          <t>Sylhet GEN-A-2</t>
        </is>
      </c>
      <c r="E1859" s="11" t="inlineStr">
        <is>
          <t>Mr. Mohammad Hasan</t>
        </is>
      </c>
      <c r="F1859" s="10" t="n">
        <v>10666</v>
      </c>
      <c r="G1859" s="11" t="inlineStr">
        <is>
          <t>Sylhet (Ragib Rabyea)-1</t>
        </is>
      </c>
      <c r="H1859" s="10" t="n">
        <v>3808</v>
      </c>
      <c r="I1859" s="11" t="inlineStr">
        <is>
          <t>Mr. Md. Monowar Hossen</t>
        </is>
      </c>
      <c r="J1859" s="10">
        <f>IF(K1859&gt;0, "Completed", "Pending")</f>
        <v/>
      </c>
      <c r="K1859" s="10">
        <f>COUNTIF('Survey Responses'!F:F, F1859)</f>
        <v/>
      </c>
    </row>
    <row r="1860">
      <c r="A1860" s="10" t="n">
        <v>1859</v>
      </c>
      <c r="B1860" s="11" t="inlineStr">
        <is>
          <t>Sylhet-B (GEN-A)</t>
        </is>
      </c>
      <c r="C1860" s="11" t="inlineStr">
        <is>
          <t>Mr. Md. Anisul Islam</t>
        </is>
      </c>
      <c r="D1860" s="11" t="inlineStr">
        <is>
          <t>Sylhet GEN-A-2</t>
        </is>
      </c>
      <c r="E1860" s="11" t="inlineStr">
        <is>
          <t>Mr. Mohammad Hasan</t>
        </is>
      </c>
      <c r="F1860" s="10" t="n">
        <v>10670</v>
      </c>
      <c r="G1860" s="11" t="inlineStr">
        <is>
          <t>Sylhet (Ragib Rabyea)-2</t>
        </is>
      </c>
      <c r="H1860" s="10" t="n">
        <v>4035</v>
      </c>
      <c r="I1860" s="11" t="inlineStr">
        <is>
          <t>Mr. Nura Alam</t>
        </is>
      </c>
      <c r="J1860" s="10">
        <f>IF(K1860&gt;0, "Completed", "Pending")</f>
        <v/>
      </c>
      <c r="K1860" s="10">
        <f>COUNTIF('Survey Responses'!F:F, F1860)</f>
        <v/>
      </c>
    </row>
    <row r="1861">
      <c r="A1861" s="10" t="n">
        <v>1860</v>
      </c>
      <c r="B1861" s="11" t="inlineStr">
        <is>
          <t>Sylhet-B (GEN-A)</t>
        </is>
      </c>
      <c r="C1861" s="11" t="inlineStr">
        <is>
          <t>Mr. Md. Anisul Islam</t>
        </is>
      </c>
      <c r="D1861" s="11" t="inlineStr">
        <is>
          <t>Sylhet GEN-A-2</t>
        </is>
      </c>
      <c r="E1861" s="11" t="inlineStr">
        <is>
          <t>Mr. Mohammad Hasan</t>
        </is>
      </c>
      <c r="F1861" s="10" t="n">
        <v>10668</v>
      </c>
      <c r="G1861" s="11" t="inlineStr">
        <is>
          <t>Sylhet (Ragib Rabyea)-3</t>
        </is>
      </c>
      <c r="H1861" s="10" t="n">
        <v>7407</v>
      </c>
      <c r="I1861" s="11" t="inlineStr">
        <is>
          <t>Mr. Nur Mohammad Pabel</t>
        </is>
      </c>
      <c r="J1861" s="10">
        <f>IF(K1861&gt;0, "Completed", "Pending")</f>
        <v/>
      </c>
      <c r="K1861" s="10">
        <f>COUNTIF('Survey Responses'!F:F, F1861)</f>
        <v/>
      </c>
    </row>
    <row r="1862">
      <c r="A1862" s="10" t="n">
        <v>1861</v>
      </c>
      <c r="B1862" s="11" t="inlineStr">
        <is>
          <t>Sylhet-B (GEN-A)</t>
        </is>
      </c>
      <c r="C1862" s="11" t="inlineStr">
        <is>
          <t>Mr. Md. Anisul Islam</t>
        </is>
      </c>
      <c r="D1862" s="11" t="inlineStr">
        <is>
          <t>Sylhet GEN-A-2</t>
        </is>
      </c>
      <c r="E1862" s="11" t="inlineStr">
        <is>
          <t>Mr. Mohammad Hasan</t>
        </is>
      </c>
      <c r="F1862" s="10" t="n">
        <v>13129</v>
      </c>
      <c r="G1862" s="11" t="inlineStr">
        <is>
          <t>Sylhet (Ragib Rabyea)-4</t>
        </is>
      </c>
      <c r="H1862" s="10" t="n">
        <v>7617</v>
      </c>
      <c r="I1862" s="11" t="inlineStr">
        <is>
          <t>Mr. Arifu Zamman</t>
        </is>
      </c>
      <c r="J1862" s="10">
        <f>IF(K1862&gt;0, "Completed", "Pending")</f>
        <v/>
      </c>
      <c r="K1862" s="10">
        <f>COUNTIF('Survey Responses'!F:F, F1862)</f>
        <v/>
      </c>
    </row>
    <row r="1863">
      <c r="A1863" s="10" t="n">
        <v>1862</v>
      </c>
      <c r="B1863" s="11" t="inlineStr">
        <is>
          <t>Sylhet-B (GEN-A)</t>
        </is>
      </c>
      <c r="C1863" s="11" t="inlineStr">
        <is>
          <t>Mr. Md. Anisul Islam</t>
        </is>
      </c>
      <c r="D1863" s="11" t="inlineStr">
        <is>
          <t>Sylhet GEN-A-4</t>
        </is>
      </c>
      <c r="E1863" s="11" t="inlineStr">
        <is>
          <t>Mr. Md. Millatun Nabi</t>
        </is>
      </c>
      <c r="F1863" s="10" t="n">
        <v>12057</v>
      </c>
      <c r="G1863" s="11" t="inlineStr">
        <is>
          <t>Companigonj-Goainghat</t>
        </is>
      </c>
      <c r="H1863" s="10" t="n">
        <v>1809</v>
      </c>
      <c r="I1863" s="11" t="inlineStr">
        <is>
          <t>Md. Sajib Hasan</t>
        </is>
      </c>
      <c r="J1863" s="10">
        <f>IF(K1863&gt;0, "Completed", "Pending")</f>
        <v/>
      </c>
      <c r="K1863" s="10">
        <f>COUNTIF('Survey Responses'!F:F, F1863)</f>
        <v/>
      </c>
    </row>
    <row r="1864">
      <c r="A1864" s="10" t="n">
        <v>1863</v>
      </c>
      <c r="B1864" s="11" t="inlineStr">
        <is>
          <t>Sylhet-B (GEN-A)</t>
        </is>
      </c>
      <c r="C1864" s="11" t="inlineStr">
        <is>
          <t>Mr. Md. Anisul Islam</t>
        </is>
      </c>
      <c r="D1864" s="11" t="inlineStr">
        <is>
          <t>Sylhet GEN-A-4</t>
        </is>
      </c>
      <c r="E1864" s="11" t="inlineStr">
        <is>
          <t>Mr. Md. Millatun Nabi</t>
        </is>
      </c>
      <c r="F1864" s="10" t="n">
        <v>10671</v>
      </c>
      <c r="G1864" s="11" t="inlineStr">
        <is>
          <t>Noorjahan Hospital</t>
        </is>
      </c>
      <c r="H1864" s="10" t="n">
        <v>6415</v>
      </c>
      <c r="I1864" s="11" t="inlineStr">
        <is>
          <t>Mr. Smron Chandra Das</t>
        </is>
      </c>
      <c r="J1864" s="10">
        <f>IF(K1864&gt;0, "Completed", "Pending")</f>
        <v/>
      </c>
      <c r="K1864" s="10">
        <f>COUNTIF('Survey Responses'!F:F, F1864)</f>
        <v/>
      </c>
    </row>
    <row r="1865">
      <c r="A1865" s="10" t="n">
        <v>1864</v>
      </c>
      <c r="B1865" s="11" t="inlineStr">
        <is>
          <t>Sylhet-B (GEN-A)</t>
        </is>
      </c>
      <c r="C1865" s="11" t="inlineStr">
        <is>
          <t>Mr. Md. Anisul Islam</t>
        </is>
      </c>
      <c r="D1865" s="11" t="inlineStr">
        <is>
          <t>Sylhet GEN-A-4</t>
        </is>
      </c>
      <c r="E1865" s="11" t="inlineStr">
        <is>
          <t>Mr. Md. Millatun Nabi</t>
        </is>
      </c>
      <c r="F1865" s="10" t="n">
        <v>10654</v>
      </c>
      <c r="G1865" s="11" t="inlineStr">
        <is>
          <t>Sylhet N/E-1</t>
        </is>
      </c>
      <c r="H1865" s="10" t="n">
        <v>6905</v>
      </c>
      <c r="I1865" s="11" t="inlineStr">
        <is>
          <t>Mr. Md. Ferdous Alam</t>
        </is>
      </c>
      <c r="J1865" s="10">
        <f>IF(K1865&gt;0, "Completed", "Pending")</f>
        <v/>
      </c>
      <c r="K1865" s="10">
        <f>COUNTIF('Survey Responses'!F:F, F1865)</f>
        <v/>
      </c>
    </row>
    <row r="1866">
      <c r="A1866" s="10" t="n">
        <v>1865</v>
      </c>
      <c r="B1866" s="11" t="inlineStr">
        <is>
          <t>Sylhet-B (GEN-A)</t>
        </is>
      </c>
      <c r="C1866" s="11" t="inlineStr">
        <is>
          <t>Mr. Md. Anisul Islam</t>
        </is>
      </c>
      <c r="D1866" s="11" t="inlineStr">
        <is>
          <t>Sylhet GEN-A-4</t>
        </is>
      </c>
      <c r="E1866" s="11" t="inlineStr">
        <is>
          <t>Mr. Md. Millatun Nabi</t>
        </is>
      </c>
      <c r="F1866" s="10" t="n">
        <v>10653</v>
      </c>
      <c r="G1866" s="11" t="inlineStr">
        <is>
          <t>Sylhet N/E-2</t>
        </is>
      </c>
      <c r="H1866" s="10" t="n">
        <v>1221</v>
      </c>
      <c r="I1866" s="11" t="inlineStr">
        <is>
          <t>Rajesh Paul</t>
        </is>
      </c>
      <c r="J1866" s="10">
        <f>IF(K1866&gt;0, "Completed", "Pending")</f>
        <v/>
      </c>
      <c r="K1866" s="10">
        <f>COUNTIF('Survey Responses'!F:F, F1866)</f>
        <v/>
      </c>
    </row>
    <row r="1867">
      <c r="A1867" s="10" t="n">
        <v>1866</v>
      </c>
      <c r="B1867" s="11" t="inlineStr">
        <is>
          <t>Sylhet-B (GEN-A)</t>
        </is>
      </c>
      <c r="C1867" s="11" t="inlineStr">
        <is>
          <t>Mr. Md. Anisul Islam</t>
        </is>
      </c>
      <c r="D1867" s="11" t="inlineStr">
        <is>
          <t>Sylhet GEN-A-4</t>
        </is>
      </c>
      <c r="E1867" s="11" t="inlineStr">
        <is>
          <t>Mr. Md. Millatun Nabi</t>
        </is>
      </c>
      <c r="F1867" s="10" t="n">
        <v>10658</v>
      </c>
      <c r="G1867" s="11" t="inlineStr">
        <is>
          <t>Sylhet N/E-3</t>
        </is>
      </c>
      <c r="H1867" s="10" t="n">
        <v>1930</v>
      </c>
      <c r="I1867" s="11" t="inlineStr">
        <is>
          <t>Md. Abu Bakar Siddique</t>
        </is>
      </c>
      <c r="J1867" s="10">
        <f>IF(K1867&gt;0, "Completed", "Pending")</f>
        <v/>
      </c>
      <c r="K1867" s="10">
        <f>COUNTIF('Survey Responses'!F:F, F1867)</f>
        <v/>
      </c>
    </row>
    <row r="1868">
      <c r="A1868" s="10" t="n">
        <v>1867</v>
      </c>
      <c r="B1868" s="11" t="inlineStr">
        <is>
          <t>Sylhet-B (GEN-A)</t>
        </is>
      </c>
      <c r="C1868" s="11" t="inlineStr">
        <is>
          <t>Mr. Md. Anisul Islam</t>
        </is>
      </c>
      <c r="D1868" s="11" t="inlineStr">
        <is>
          <t>Sylhet GEN-A-4</t>
        </is>
      </c>
      <c r="E1868" s="11" t="inlineStr">
        <is>
          <t>Mr. Md. Millatun Nabi</t>
        </is>
      </c>
      <c r="F1868" s="10" t="n">
        <v>12901</v>
      </c>
      <c r="G1868" s="11" t="inlineStr">
        <is>
          <t>Sylhet N/E-4</t>
        </is>
      </c>
      <c r="H1868" s="10" t="n">
        <v>4194</v>
      </c>
      <c r="I1868" s="11" t="inlineStr">
        <is>
          <t>Mr. Md. Abdullah Almamun</t>
        </is>
      </c>
      <c r="J1868" s="10">
        <f>IF(K1868&gt;0, "Completed", "Pending")</f>
        <v/>
      </c>
      <c r="K1868" s="10">
        <f>COUNTIF('Survey Responses'!F:F, F1868)</f>
        <v/>
      </c>
    </row>
    <row r="1869">
      <c r="A1869" s="10" t="n">
        <v>1868</v>
      </c>
      <c r="B1869" s="11" t="inlineStr">
        <is>
          <t>Sylhet-B (GEN-A)</t>
        </is>
      </c>
      <c r="C1869" s="11" t="inlineStr">
        <is>
          <t>Mr. Md. Anisul Islam</t>
        </is>
      </c>
      <c r="D1869" s="11" t="inlineStr">
        <is>
          <t>Sylhet GEN-A-4</t>
        </is>
      </c>
      <c r="E1869" s="11" t="inlineStr">
        <is>
          <t>Mr. Md. Millatun Nabi</t>
        </is>
      </c>
      <c r="F1869" s="10" t="n">
        <v>10656</v>
      </c>
      <c r="G1869" s="11" t="inlineStr">
        <is>
          <t>Sylhet Stadium-6</t>
        </is>
      </c>
      <c r="H1869" s="10" t="n">
        <v>3597</v>
      </c>
      <c r="I1869" s="11" t="inlineStr">
        <is>
          <t>Mr. Md. Ashraful Islam</t>
        </is>
      </c>
      <c r="J1869" s="10">
        <f>IF(K1869&gt;0, "Completed", "Pending")</f>
        <v/>
      </c>
      <c r="K1869" s="10">
        <f>COUNTIF('Survey Responses'!F:F, F1869)</f>
        <v/>
      </c>
    </row>
    <row r="1870">
      <c r="A1870" s="10" t="n">
        <v>1869</v>
      </c>
      <c r="B1870" s="11" t="inlineStr">
        <is>
          <t>Dhaka-C (GEN-A)</t>
        </is>
      </c>
      <c r="C1870" s="11" t="inlineStr">
        <is>
          <t>Mr. Utpal Kumar Sen</t>
        </is>
      </c>
      <c r="D1870" s="11" t="inlineStr">
        <is>
          <t>Dhaka GEN-A-10</t>
        </is>
      </c>
      <c r="E1870" s="11" t="inlineStr">
        <is>
          <t>Mr. Md. Bayezid Al Hasan</t>
        </is>
      </c>
      <c r="F1870" s="10" t="n">
        <v>11140</v>
      </c>
      <c r="G1870" s="11" t="inlineStr">
        <is>
          <t>RPL Mitford-A</t>
        </is>
      </c>
      <c r="H1870" s="10" t="n">
        <v>11140</v>
      </c>
      <c r="I1870" s="11" t="inlineStr">
        <is>
          <t>Institutional Sales</t>
        </is>
      </c>
      <c r="J1870" s="10">
        <f>IF(K1870&gt;0, "Completed", "Pending")</f>
        <v/>
      </c>
      <c r="K1870" s="10">
        <f>COUNTIF('Survey Responses'!F:F, F1870)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20" customWidth="1" min="4" max="4"/>
    <col width="22" customWidth="1" min="5" max="5"/>
    <col width="15" customWidth="1" min="6" max="6"/>
    <col width="18" customWidth="1" min="7" max="7"/>
    <col width="12" customWidth="1" min="8" max="8"/>
    <col width="26" customWidth="1" min="9" max="9"/>
    <col width="25" customWidth="1" min="10" max="10"/>
    <col width="14" customWidth="1" min="11" max="11"/>
    <col width="10" customWidth="1" min="12" max="12"/>
    <col width="26" customWidth="1" min="13" max="13"/>
    <col width="10" customWidth="1" min="14" max="14"/>
    <col width="38" customWidth="1" min="15" max="15"/>
    <col width="22" customWidth="1" min="16" max="16"/>
  </cols>
  <sheetData>
    <row r="1" ht="28" customHeight="1">
      <c r="A1" s="8" t="inlineStr">
        <is>
          <t>Timestamp</t>
        </is>
      </c>
      <c r="B1" s="8" t="inlineStr">
        <is>
          <t>Zone</t>
        </is>
      </c>
      <c r="C1" s="8" t="inlineStr">
        <is>
          <t>Zonal Head</t>
        </is>
      </c>
      <c r="D1" s="8" t="inlineStr">
        <is>
          <t>Region</t>
        </is>
      </c>
      <c r="E1" s="8" t="inlineStr">
        <is>
          <t>Regional Head</t>
        </is>
      </c>
      <c r="F1" s="8" t="inlineStr">
        <is>
          <t>SAP Territory Code</t>
        </is>
      </c>
      <c r="G1" s="8" t="inlineStr">
        <is>
          <t>Territory Name</t>
        </is>
      </c>
      <c r="H1" s="8" t="inlineStr">
        <is>
          <t>SAP MIO Code</t>
        </is>
      </c>
      <c r="I1" s="8" t="inlineStr">
        <is>
          <t>MIO / Sr. MIO Name</t>
        </is>
      </c>
      <c r="J1" s="8" t="inlineStr">
        <is>
          <t>Doctor Full Name</t>
        </is>
      </c>
      <c r="K1" s="8" t="inlineStr">
        <is>
          <t>Doctor RPL ID</t>
        </is>
      </c>
      <c r="L1" s="8" t="inlineStr">
        <is>
          <t>Q1 Code</t>
        </is>
      </c>
      <c r="M1" s="8" t="inlineStr">
        <is>
          <t>Q1 Answer (Trimester)</t>
        </is>
      </c>
      <c r="N1" s="8" t="inlineStr">
        <is>
          <t>Q2 Code</t>
        </is>
      </c>
      <c r="O1" s="8" t="inlineStr">
        <is>
          <t>Q2 Answer (GERD Symptom)</t>
        </is>
      </c>
      <c r="P1" s="8" t="inlineStr">
        <is>
          <t>Survey Record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2026-09-15T20:30:51Z</dcterms:created>
  <dcterms:modified xmlns:dcterms="http://purl.org/dc/terms/" xmlns:xsi="http://www.w3.org/2001/XMLSchema-instance" xsi:type="dcterms:W3CDTF">2026-09-15T20:30:51Z</dcterms:modified>
</cp:coreProperties>
</file>